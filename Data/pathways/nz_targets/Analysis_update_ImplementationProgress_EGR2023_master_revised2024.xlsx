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pelz\Documents\GitHub\2023_carbondebt\Data\pathways\nz_targets\"/>
    </mc:Choice>
  </mc:AlternateContent>
  <xr:revisionPtr revIDLastSave="0" documentId="13_ncr:1_{4D70BBAD-BE63-4881-90CD-EF374CCD2EA9}" xr6:coauthVersionLast="47" xr6:coauthVersionMax="47" xr10:uidLastSave="{00000000-0000-0000-0000-000000000000}"/>
  <bookViews>
    <workbookView xWindow="-120" yWindow="-120" windowWidth="29040" windowHeight="15840" activeTab="2" xr2:uid="{00000000-000D-0000-FFFF-FFFF00000000}"/>
  </bookViews>
  <sheets>
    <sheet name="EGR2023_MASTER" sheetId="1" r:id="rId1"/>
    <sheet name="CAT_NZ_Nov22" sheetId="2" r:id="rId2"/>
    <sheet name="September 2023 Update (WRI)"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3" l="1"/>
  <c r="P19" i="1" l="1" a="1"/>
  <c r="P19" i="1" s="1"/>
  <c r="P18" i="1" a="1"/>
  <c r="P18" i="1" s="1"/>
  <c r="P12" i="1" a="1"/>
  <c r="P12" i="1" s="1"/>
  <c r="P9" i="1" a="1"/>
  <c r="P9" i="1" s="1"/>
  <c r="O45" i="3"/>
  <c r="P45" i="3" s="1"/>
  <c r="O46" i="3"/>
  <c r="P46" i="3" s="1"/>
  <c r="A5" i="3" l="1"/>
  <c r="A7" i="3"/>
  <c r="A8" i="3"/>
  <c r="A10" i="3"/>
  <c r="A11" i="3"/>
  <c r="A13" i="3"/>
  <c r="A14" i="3"/>
  <c r="A15" i="3"/>
  <c r="A16" i="3"/>
  <c r="A17" i="3"/>
  <c r="A20" i="3"/>
  <c r="A21" i="3"/>
  <c r="A22" i="3"/>
  <c r="A23" i="3"/>
  <c r="A24" i="3"/>
  <c r="A25" i="3"/>
  <c r="A26" i="3"/>
  <c r="A28" i="3"/>
  <c r="A31" i="3"/>
  <c r="A32" i="3"/>
  <c r="A33" i="3"/>
  <c r="A34" i="3"/>
  <c r="A35" i="3"/>
  <c r="A36" i="3"/>
  <c r="A37" i="3"/>
  <c r="A38" i="3"/>
  <c r="A39" i="3"/>
  <c r="A40" i="3"/>
  <c r="A41" i="3"/>
  <c r="A42" i="3"/>
  <c r="A43" i="3"/>
  <c r="A44" i="3"/>
  <c r="A45" i="3"/>
  <c r="A46" i="3"/>
  <c r="A4" i="3"/>
  <c r="O5" i="3"/>
  <c r="P5" i="3" s="1"/>
  <c r="O7" i="3"/>
  <c r="P7" i="3" s="1"/>
  <c r="O8" i="3"/>
  <c r="P8" i="3" s="1"/>
  <c r="O10" i="3"/>
  <c r="P10" i="3" s="1"/>
  <c r="O11" i="3"/>
  <c r="P11" i="3" s="1"/>
  <c r="O13" i="3"/>
  <c r="P13" i="3" s="1"/>
  <c r="O14" i="3"/>
  <c r="P14" i="3" s="1"/>
  <c r="O15" i="3"/>
  <c r="P15" i="3" s="1"/>
  <c r="O16" i="3"/>
  <c r="P16" i="3" s="1"/>
  <c r="O17" i="3"/>
  <c r="P17" i="3" s="1"/>
  <c r="O20" i="3"/>
  <c r="P20" i="3" s="1"/>
  <c r="O21" i="3"/>
  <c r="P21" i="3" s="1"/>
  <c r="O22" i="3"/>
  <c r="P22" i="3" s="1"/>
  <c r="O23" i="3"/>
  <c r="P23" i="3" s="1"/>
  <c r="O24" i="3"/>
  <c r="P24" i="3" s="1"/>
  <c r="O25" i="3"/>
  <c r="P25" i="3" s="1"/>
  <c r="O26" i="3"/>
  <c r="P26" i="3" s="1"/>
  <c r="O28" i="3"/>
  <c r="P28" i="3" s="1"/>
  <c r="O31" i="3"/>
  <c r="P31" i="3" s="1"/>
  <c r="O32" i="3"/>
  <c r="P32" i="3" s="1"/>
  <c r="O33" i="3"/>
  <c r="P33" i="3" s="1"/>
  <c r="O34" i="3"/>
  <c r="P34" i="3" s="1"/>
  <c r="O35" i="3"/>
  <c r="P35" i="3" s="1"/>
  <c r="O36" i="3"/>
  <c r="P36" i="3" s="1"/>
  <c r="O37" i="3"/>
  <c r="P37" i="3" s="1"/>
  <c r="O38" i="3"/>
  <c r="P38" i="3" s="1"/>
  <c r="O39" i="3"/>
  <c r="P39" i="3" s="1"/>
  <c r="O40" i="3"/>
  <c r="P40" i="3" s="1"/>
  <c r="O41" i="3"/>
  <c r="P41" i="3" s="1"/>
  <c r="O42" i="3"/>
  <c r="P42" i="3" s="1"/>
  <c r="O43" i="3"/>
  <c r="P43" i="3" s="1"/>
  <c r="O44" i="3"/>
  <c r="P44" i="3" s="1"/>
  <c r="O4" i="3"/>
  <c r="P4" i="3" s="1"/>
  <c r="O3" i="3"/>
  <c r="O2" i="3"/>
  <c r="W26" i="1"/>
  <c r="X26" i="1"/>
  <c r="Y26" i="1"/>
  <c r="W33" i="1"/>
  <c r="X33" i="1"/>
  <c r="Y33" i="1"/>
  <c r="W42" i="1"/>
  <c r="X42" i="1"/>
  <c r="Y42" i="1"/>
  <c r="W44" i="1"/>
  <c r="X44" i="1"/>
  <c r="Y44" i="1"/>
  <c r="W46" i="1"/>
  <c r="X46" i="1"/>
  <c r="Y46" i="1"/>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AI46" i="1"/>
  <c r="V46" i="1"/>
  <c r="U46" i="1"/>
  <c r="T46" i="1"/>
  <c r="K46" i="1"/>
  <c r="AI45" i="1"/>
  <c r="P45" i="1" a="1"/>
  <c r="P45" i="1" s="1"/>
  <c r="W45" i="1" s="1"/>
  <c r="K45" i="1"/>
  <c r="AI44" i="1"/>
  <c r="V44" i="1"/>
  <c r="U44" i="1"/>
  <c r="T44" i="1"/>
  <c r="K44" i="1"/>
  <c r="AI43" i="1"/>
  <c r="P43" i="1" a="1"/>
  <c r="P43" i="1" s="1"/>
  <c r="W43" i="1" s="1"/>
  <c r="K43" i="1"/>
  <c r="AI42" i="1"/>
  <c r="V42" i="1"/>
  <c r="U42" i="1"/>
  <c r="T42" i="1"/>
  <c r="K42" i="1"/>
  <c r="AI41" i="1"/>
  <c r="P41" i="1" a="1"/>
  <c r="P41" i="1" s="1"/>
  <c r="W41" i="1" s="1"/>
  <c r="K41" i="1"/>
  <c r="AI40" i="1"/>
  <c r="P40" i="1" a="1"/>
  <c r="P40" i="1" s="1"/>
  <c r="W40" i="1" s="1"/>
  <c r="K40" i="1"/>
  <c r="AI39" i="1"/>
  <c r="P39" i="1" a="1"/>
  <c r="P39" i="1" s="1"/>
  <c r="W39" i="1" s="1"/>
  <c r="K39" i="1"/>
  <c r="AI38" i="1"/>
  <c r="P38" i="1" a="1"/>
  <c r="P38" i="1" s="1"/>
  <c r="W38" i="1" s="1"/>
  <c r="K38" i="1"/>
  <c r="AI37" i="1"/>
  <c r="P37" i="1" a="1"/>
  <c r="P37" i="1" s="1"/>
  <c r="Y37" i="1" s="1"/>
  <c r="K37" i="1"/>
  <c r="AI36" i="1"/>
  <c r="P36" i="1" a="1"/>
  <c r="P36" i="1" s="1"/>
  <c r="T36" i="1" s="1"/>
  <c r="K36" i="1"/>
  <c r="AI35" i="1"/>
  <c r="P35" i="1" a="1"/>
  <c r="P35" i="1" s="1"/>
  <c r="W35" i="1" s="1"/>
  <c r="K35" i="1"/>
  <c r="AI34" i="1"/>
  <c r="P34" i="1" a="1"/>
  <c r="P34" i="1" s="1"/>
  <c r="W34" i="1" s="1"/>
  <c r="K34" i="1"/>
  <c r="AI33" i="1"/>
  <c r="V33" i="1"/>
  <c r="U33" i="1"/>
  <c r="T33" i="1"/>
  <c r="K33" i="1"/>
  <c r="AI32" i="1"/>
  <c r="P32" i="1" a="1"/>
  <c r="P32" i="1" s="1"/>
  <c r="X32" i="1" s="1"/>
  <c r="K32" i="1"/>
  <c r="AI31" i="1"/>
  <c r="P31" i="1" a="1"/>
  <c r="P31" i="1" s="1"/>
  <c r="W31" i="1" s="1"/>
  <c r="K31" i="1"/>
  <c r="AI28" i="1"/>
  <c r="P28" i="1" a="1"/>
  <c r="P28" i="1" s="1"/>
  <c r="W28" i="1" s="1"/>
  <c r="K28" i="1"/>
  <c r="AI26" i="1"/>
  <c r="V26" i="1"/>
  <c r="U26" i="1"/>
  <c r="T26" i="1"/>
  <c r="K26" i="1"/>
  <c r="AI25" i="1"/>
  <c r="P25" i="1" a="1"/>
  <c r="P25" i="1" s="1"/>
  <c r="V25" i="1" s="1"/>
  <c r="K25" i="1"/>
  <c r="AI24" i="1"/>
  <c r="P24" i="1" a="1"/>
  <c r="P24" i="1" s="1"/>
  <c r="V24" i="1" s="1"/>
  <c r="K24" i="1"/>
  <c r="AI23" i="1"/>
  <c r="P23" i="1" a="1"/>
  <c r="P23" i="1" s="1"/>
  <c r="W23" i="1" s="1"/>
  <c r="K23" i="1"/>
  <c r="AI22" i="1"/>
  <c r="P22" i="1" a="1"/>
  <c r="P22" i="1" s="1"/>
  <c r="W22" i="1" s="1"/>
  <c r="K22" i="1"/>
  <c r="AI21" i="1"/>
  <c r="P21" i="1" a="1"/>
  <c r="P21" i="1" s="1"/>
  <c r="W21" i="1" s="1"/>
  <c r="K21" i="1"/>
  <c r="AI20" i="1"/>
  <c r="P20" i="1" a="1"/>
  <c r="P20" i="1" s="1"/>
  <c r="W20" i="1" s="1"/>
  <c r="K20" i="1"/>
  <c r="AI17" i="1"/>
  <c r="P17" i="1" a="1"/>
  <c r="P17" i="1" s="1"/>
  <c r="W17" i="1" s="1"/>
  <c r="K17" i="1"/>
  <c r="AI16" i="1"/>
  <c r="P16" i="1" a="1"/>
  <c r="P16" i="1" s="1"/>
  <c r="Y16" i="1" s="1"/>
  <c r="M16" i="1"/>
  <c r="K16" i="1"/>
  <c r="AI15" i="1"/>
  <c r="P15" i="1" a="1"/>
  <c r="P15" i="1" s="1"/>
  <c r="W15" i="1" s="1"/>
  <c r="K15" i="1"/>
  <c r="AI14" i="1"/>
  <c r="P14" i="1" a="1"/>
  <c r="P14" i="1" s="1"/>
  <c r="W14" i="1" s="1"/>
  <c r="K14" i="1"/>
  <c r="AI13" i="1"/>
  <c r="P13" i="1" a="1"/>
  <c r="P13" i="1" s="1"/>
  <c r="W13" i="1" s="1"/>
  <c r="K13" i="1"/>
  <c r="AI11" i="1"/>
  <c r="P11" i="1" a="1"/>
  <c r="P11" i="1" s="1"/>
  <c r="W11" i="1" s="1"/>
  <c r="K11" i="1"/>
  <c r="AI10" i="1"/>
  <c r="P10" i="1" a="1"/>
  <c r="P10" i="1" s="1"/>
  <c r="X10" i="1" s="1"/>
  <c r="K10" i="1"/>
  <c r="AI8" i="1"/>
  <c r="P8" i="1" a="1"/>
  <c r="P8" i="1" s="1"/>
  <c r="W8" i="1" s="1"/>
  <c r="K8" i="1"/>
  <c r="AI7" i="1"/>
  <c r="P7" i="1" a="1"/>
  <c r="P7" i="1" s="1"/>
  <c r="V7" i="1" s="1"/>
  <c r="K7" i="1"/>
  <c r="AI5" i="1"/>
  <c r="P5" i="1" a="1"/>
  <c r="P5" i="1" s="1"/>
  <c r="W5" i="1" s="1"/>
  <c r="K5" i="1"/>
  <c r="AI4" i="1"/>
  <c r="P4" i="1" a="1"/>
  <c r="P4" i="1" s="1"/>
  <c r="V4" i="1" s="1"/>
  <c r="K4" i="1"/>
  <c r="X37" i="1" l="1"/>
  <c r="W32" i="1"/>
  <c r="Y23" i="1"/>
  <c r="X16" i="1"/>
  <c r="W10" i="1"/>
  <c r="W4" i="1"/>
  <c r="W37" i="1"/>
  <c r="Y31" i="1"/>
  <c r="X23" i="1"/>
  <c r="W16" i="1"/>
  <c r="Y8" i="1"/>
  <c r="Y4" i="1"/>
  <c r="Y36" i="1"/>
  <c r="X31" i="1"/>
  <c r="Y15" i="1"/>
  <c r="X8" i="1"/>
  <c r="X4" i="1"/>
  <c r="Y41" i="1"/>
  <c r="X36" i="1"/>
  <c r="Y22" i="1"/>
  <c r="X15" i="1"/>
  <c r="X41" i="1"/>
  <c r="W36" i="1"/>
  <c r="Y28" i="1"/>
  <c r="X22" i="1"/>
  <c r="Y7" i="1"/>
  <c r="Y35" i="1"/>
  <c r="X28" i="1"/>
  <c r="Y14" i="1"/>
  <c r="X7" i="1"/>
  <c r="Y40" i="1"/>
  <c r="X35" i="1"/>
  <c r="Y21" i="1"/>
  <c r="X14" i="1"/>
  <c r="W7" i="1"/>
  <c r="Y45" i="1"/>
  <c r="X40" i="1"/>
  <c r="X21" i="1"/>
  <c r="Y5" i="1"/>
  <c r="X45" i="1"/>
  <c r="Y34" i="1"/>
  <c r="Y13" i="1"/>
  <c r="X5" i="1"/>
  <c r="Y39" i="1"/>
  <c r="X34" i="1"/>
  <c r="Y20" i="1"/>
  <c r="X13" i="1"/>
  <c r="X39" i="1"/>
  <c r="Y25" i="1"/>
  <c r="X20" i="1"/>
  <c r="X25" i="1"/>
  <c r="Y11" i="1"/>
  <c r="Y38" i="1"/>
  <c r="W25" i="1"/>
  <c r="Y17" i="1"/>
  <c r="X11" i="1"/>
  <c r="Y43" i="1"/>
  <c r="X38" i="1"/>
  <c r="Y24" i="1"/>
  <c r="X17" i="1"/>
  <c r="X43" i="1"/>
  <c r="Y32" i="1"/>
  <c r="X24" i="1"/>
  <c r="Y10" i="1"/>
  <c r="W24" i="1"/>
  <c r="V45" i="1"/>
  <c r="U45" i="1"/>
  <c r="T45" i="1"/>
  <c r="V39" i="1"/>
  <c r="U39" i="1"/>
  <c r="T39" i="1"/>
  <c r="U17" i="1"/>
  <c r="V17" i="1"/>
  <c r="T17" i="1"/>
  <c r="V40" i="1"/>
  <c r="U40" i="1"/>
  <c r="T40" i="1"/>
  <c r="V11" i="1"/>
  <c r="U11" i="1"/>
  <c r="T11" i="1"/>
  <c r="U8" i="1"/>
  <c r="T8" i="1"/>
  <c r="V8" i="1"/>
  <c r="V10" i="1"/>
  <c r="U10" i="1"/>
  <c r="T10" i="1"/>
  <c r="U34" i="1"/>
  <c r="V34" i="1"/>
  <c r="T34" i="1"/>
  <c r="V20" i="1"/>
  <c r="U20" i="1"/>
  <c r="T20" i="1"/>
  <c r="V41" i="1"/>
  <c r="U41" i="1"/>
  <c r="T41" i="1"/>
  <c r="V35" i="1"/>
  <c r="U35" i="1"/>
  <c r="T35" i="1"/>
  <c r="T21" i="1"/>
  <c r="V21" i="1"/>
  <c r="U21" i="1"/>
  <c r="T13" i="1"/>
  <c r="U13" i="1"/>
  <c r="V13" i="1"/>
  <c r="T28" i="1"/>
  <c r="V28" i="1"/>
  <c r="U28" i="1"/>
  <c r="V22" i="1"/>
  <c r="U22" i="1"/>
  <c r="T22" i="1"/>
  <c r="V14" i="1"/>
  <c r="U14" i="1"/>
  <c r="T14" i="1"/>
  <c r="V5" i="1"/>
  <c r="U5" i="1"/>
  <c r="T5" i="1"/>
  <c r="T31" i="1"/>
  <c r="V31" i="1"/>
  <c r="U31" i="1"/>
  <c r="U23" i="1"/>
  <c r="V23" i="1"/>
  <c r="T23" i="1"/>
  <c r="T37" i="1"/>
  <c r="V37" i="1"/>
  <c r="U37" i="1"/>
  <c r="V43" i="1"/>
  <c r="U43" i="1"/>
  <c r="T43" i="1"/>
  <c r="V15" i="1"/>
  <c r="U15" i="1"/>
  <c r="T15" i="1"/>
  <c r="V32" i="1"/>
  <c r="U32" i="1"/>
  <c r="T32" i="1"/>
  <c r="V38" i="1"/>
  <c r="U38" i="1"/>
  <c r="T38" i="1"/>
  <c r="U16" i="1"/>
  <c r="V16" i="1"/>
  <c r="T16" i="1"/>
  <c r="T24" i="1"/>
  <c r="U36" i="1"/>
  <c r="U24" i="1"/>
  <c r="V36" i="1"/>
  <c r="T25" i="1"/>
  <c r="U25" i="1"/>
  <c r="T7" i="1"/>
  <c r="U7" i="1"/>
  <c r="T4" i="1"/>
  <c r="U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000-000001000000}">
      <text>
        <r>
          <rPr>
            <sz val="10"/>
            <color rgb="FF000000"/>
            <rFont val="Arial"/>
            <family val="2"/>
            <scheme val="minor"/>
          </rPr>
          <t>Based on the average of the underlying studies, which can be different from the last reporting year emission</t>
        </r>
      </text>
    </comment>
    <comment ref="O3" authorId="0" shapeId="0" xr:uid="{00000000-0006-0000-0000-000015000000}">
      <text>
        <r>
          <rPr>
            <sz val="10"/>
            <color rgb="FF000000"/>
            <rFont val="Arial"/>
            <family val="2"/>
            <scheme val="minor"/>
          </rPr>
          <t>Options: Y/N
	-Joeri Rogelj</t>
        </r>
      </text>
    </comment>
    <comment ref="P3" authorId="0" shapeId="0" xr:uid="{00000000-0006-0000-0000-000017000000}">
      <text>
        <r>
          <rPr>
            <sz val="10"/>
            <color rgb="FF000000"/>
            <rFont val="Arial"/>
            <family val="2"/>
            <scheme val="minor"/>
          </rPr>
          <t>options: credible/weaker/none
	-Joeri Rogelj
Revised scoring based on CAT Net Zero Evaluation ver.Nov 22. See columns U-V of the sheet 'CAT_NZ_Nov22'. 
Credible if: 
"Underlying [government or government-endorsed] analysis identifies pathway and key measures for reaching net zero, with sector-specific detail", or,
"Some information on anticipated pathway or measures for achieving net zero is available, but with limited detail"
Not credible if: 
"No pathway, measures or underlying analysis provided", or, 
"No information provided [only for targets announced or under discussion]"
	-Takeshi Kuramochi
Sounds good to me.
	-Frederic Hans</t>
        </r>
      </text>
    </comment>
    <comment ref="Q3" authorId="0" shapeId="0" xr:uid="{00000000-0006-0000-0000-000013000000}">
      <text>
        <r>
          <rPr>
            <sz val="10"/>
            <color rgb="FF000000"/>
            <rFont val="Arial"/>
            <family val="2"/>
            <scheme val="minor"/>
          </rPr>
          <t>We based our judgement on the studies covered in EGR2022. Reference year of 2020 is used (and not 2019, because many models don't provide 2019 estimates). 2020 emissions are model estimates for some countries or models, and historical data for others. 
'Yes' rating is given when studies unanimously show a reduction of 10% or more reduction between 2020 and 2030.
	-Takeshi Kuramochi</t>
        </r>
      </text>
    </comment>
    <comment ref="AI3" authorId="0" shapeId="0" xr:uid="{00000000-0006-0000-0000-000016000000}">
      <text>
        <r>
          <rPr>
            <sz val="10"/>
            <color rgb="FF000000"/>
            <rFont val="Arial"/>
            <family val="2"/>
            <scheme val="minor"/>
          </rPr>
          <t>Automatically calculated from emissions data
	-Joeri Rogelj</t>
        </r>
      </text>
    </comment>
    <comment ref="AF4" authorId="0" shapeId="0" xr:uid="{00000000-0006-0000-0000-000008000000}">
      <text>
        <r>
          <rPr>
            <sz val="10"/>
            <color rgb="FF000000"/>
            <rFont val="Arial"/>
            <family val="2"/>
            <scheme val="minor"/>
          </rPr>
          <t>@Takeshi: I assume the yellow cells can be deleted, as this was a test?
	-michel den elzen</t>
        </r>
      </text>
    </comment>
    <comment ref="I5" authorId="0" shapeId="0" xr:uid="{00000000-0006-0000-0000-000006000000}">
      <text>
        <r>
          <rPr>
            <sz val="10"/>
            <color rgb="FF000000"/>
            <rFont val="Arial"/>
            <family val="2"/>
            <scheme val="minor"/>
          </rPr>
          <t>Minor change due to update PBL estimate,
	-michel den elzen</t>
        </r>
      </text>
    </comment>
    <comment ref="O16" authorId="0" shapeId="0" xr:uid="{00000000-0006-0000-0000-000014000000}">
      <text>
        <r>
          <rPr>
            <sz val="10"/>
            <color rgb="FF000000"/>
            <rFont val="Arial"/>
            <family val="2"/>
            <scheme val="minor"/>
          </rPr>
          <t>I had originally marked this as N, but changing after learning about Mexico's 2050 law: https://climate-laws.org/geographies/mexico/laws/general-law-on-climate-change
	-Clea Schumer
Just FYI, we currently do not code Mexico as having a net-zero target (see assessment as of 12 Dec 2022 here: https://climateactiontracker.org/countries/mexico/net-zero-targets/). As explained in the assessment, we do no longer consider Mexico’s mid-century strategy as valid. As part of the court’s ruling revoking the 2020 NDC targets and reinstating the 2016 NDC, Mexico’s 2050 target from its Mid-Century Strategy was also reinstated. We will re-assess our evaluation of this target after there is more clarity.
	-Frederic Hans</t>
        </r>
      </text>
    </comment>
    <comment ref="H26" authorId="0" shapeId="0" xr:uid="{00000000-0006-0000-0000-000011000000}">
      <text>
        <r>
          <rPr>
            <sz val="10"/>
            <color rgb="FF000000"/>
            <rFont val="Arial"/>
            <family val="2"/>
            <scheme val="minor"/>
          </rPr>
          <t>JRC2021
	-Takeshi Kuramochi</t>
        </r>
      </text>
    </comment>
    <comment ref="I26" authorId="0" shapeId="0" xr:uid="{00000000-0006-0000-0000-000010000000}">
      <text>
        <r>
          <rPr>
            <sz val="10"/>
            <color rgb="FF000000"/>
            <rFont val="Arial"/>
            <family val="2"/>
            <scheme val="minor"/>
          </rPr>
          <t>JRC2021
	-Takeshi Kuramochi</t>
        </r>
      </text>
    </comment>
    <comment ref="P26" authorId="0" shapeId="0" xr:uid="{00000000-0006-0000-0000-000012000000}">
      <text>
        <r>
          <rPr>
            <sz val="10"/>
            <color rgb="FF000000"/>
            <rFont val="Arial"/>
            <family val="2"/>
            <scheme val="minor"/>
          </rPr>
          <t>hard-coded
	-Takeshi Kuramochi</t>
        </r>
      </text>
    </comment>
    <comment ref="P33" authorId="0" shapeId="0" xr:uid="{00000000-0006-0000-0000-00000E000000}">
      <text>
        <r>
          <rPr>
            <sz val="10"/>
            <color rgb="FF000000"/>
            <rFont val="Arial"/>
            <family val="2"/>
            <scheme val="minor"/>
          </rPr>
          <t>Based on the CAT COP26 update
	-Takeshi Kuramochi
Ok. Just FYI, net zero assessment (as well as entire country analysis) currently paused due to war of aggression. Previous analysis from Dec 2021 did not identify any credible plan (https://climateactiontracker.org/countries/ukraine/2021-12-13/net-zero-targets/).
	-Frederic Hans</t>
        </r>
      </text>
    </comment>
    <comment ref="Q33" authorId="0" shapeId="0" xr:uid="{00000000-0006-0000-0000-00000D000000}">
      <text>
        <r>
          <rPr>
            <sz val="10"/>
            <color rgb="FF000000"/>
            <rFont val="Arial"/>
            <family val="2"/>
            <scheme val="minor"/>
          </rPr>
          <t>Based on CAT COP26 update
	-Takeshi Kuramochi</t>
        </r>
      </text>
    </comment>
    <comment ref="A38" authorId="0" shapeId="0" xr:uid="{00000000-0006-0000-0000-000018000000}">
      <text>
        <r>
          <rPr>
            <sz val="10"/>
            <color rgb="FF000000"/>
            <rFont val="Arial"/>
            <family val="2"/>
            <scheme val="minor"/>
          </rPr>
          <t>Would recommend removing Egypt, Ethiopia, and Iran, since they are not in the G20 and do not have a net-zero target
	-Clea Schumer
Just FYI, we consider Ethiopia having a net-zero target evaluated as 'target information incomplete' (see our assessment as of 9 Nov 2022 here: https://climateactiontracker.org/countries/ethiopia/net-zero-targets/). 
Ethiopia intends to become ‘carbon neutral’, but has not specified a target year (FDRE, 2015). Ethiopia has not submitted a Long-Term Low Emission Development Strategy to the UNFCCC as of August 2022, but is in the process of developing one with support from the Global Green Growth Institute (GGGI, 2022). This process will include developing business as usual and net zero emissions scenarios. In 2020, Ethiopia joined the Climate Ambition Alliance: Net zero by 2050, but it is unclear what this means for Ethiopia’s net zero ambitions (Climate Ambition Alliance, 2019).
	-Frederic Hans</t>
        </r>
      </text>
    </comment>
    <comment ref="P39" authorId="0" shapeId="0" xr:uid="{00000000-0006-0000-0000-00000C000000}">
      <text>
        <r>
          <rPr>
            <sz val="10"/>
            <color rgb="FF000000"/>
            <rFont val="Arial"/>
            <family val="2"/>
            <scheme val="minor"/>
          </rPr>
          <t>To be confirmed with FHA
	-Takeshi Kuramochi
Correct. No LTS published as of January 2023 (remains work in progress supported by GGGI).
	-Frederic Hans</t>
        </r>
      </text>
    </comment>
    <comment ref="H42" authorId="0" shapeId="0" xr:uid="{00000000-0006-0000-0000-00000F000000}">
      <text>
        <r>
          <rPr>
            <sz val="10"/>
            <color rgb="FF000000"/>
            <rFont val="Arial"/>
            <family val="2"/>
            <scheme val="minor"/>
          </rPr>
          <t>Climate Resource 2022. Excludes LULUCF
	-Takeshi Kuramochi</t>
        </r>
      </text>
    </comment>
    <comment ref="R43" authorId="0" shapeId="0" xr:uid="{00000000-0006-0000-0000-000007000000}">
      <text>
        <r>
          <rPr>
            <sz val="10"/>
            <color rgb="FF000000"/>
            <rFont val="Arial"/>
            <family val="2"/>
            <scheme val="minor"/>
          </rPr>
          <t>I think we also need to include the estimate of CAT, and this shows a reduction of only -6% below 2020 levels, so it news to be a N
	-michel den elzen</t>
        </r>
      </text>
    </comment>
    <comment ref="P44" authorId="0" shapeId="0" xr:uid="{00000000-0006-0000-0000-00000B000000}">
      <text>
        <r>
          <rPr>
            <sz val="10"/>
            <color rgb="FF000000"/>
            <rFont val="Arial"/>
            <family val="2"/>
            <scheme val="minor"/>
          </rPr>
          <t>To be confirmed with FHA
	-Takeshi Kuramochi
No CAT assessment available. Considering Cambodia's detailed LTS outlining its path to 2050 carbon neutrality I assume it is ok to code as 'credible'.
	-Frederic Hans</t>
        </r>
      </text>
    </comment>
    <comment ref="Z44" authorId="0" shapeId="0" xr:uid="{00000000-0006-0000-0000-00000A000000}">
      <text>
        <r>
          <rPr>
            <sz val="10"/>
            <color rgb="FF000000"/>
            <rFont val="Arial"/>
            <family val="2"/>
            <scheme val="minor"/>
          </rPr>
          <t>Check referencing with FHA
	-Takeshi Kuramochi
No CAT assessment available. Cambodia indeed includes the 2050 target in its LTS and is a signatory of the Climate Ambition Alliance announced at COP25 to reach net zero CO2 emissions by 2050 (https://cop25.mma.gob.cl/wp-content/uploads/2020/02/Annex-Alliance-ENGLISH.pdf).
	-Frederic Hans</t>
        </r>
      </text>
    </comment>
    <comment ref="P46" authorId="0" shapeId="0" xr:uid="{00000000-0006-0000-0000-000009000000}">
      <text>
        <r>
          <rPr>
            <sz val="10"/>
            <color rgb="FF000000"/>
            <rFont val="Arial"/>
            <family val="2"/>
            <scheme val="minor"/>
          </rPr>
          <t>To be confirmed with FHA
	-Takeshi Kuramochi
We have not fully assessed this and the assessment remains at a draft stage (see https://app.box.com/file/1024601536827?s=yu3y9nxbo2unhubkbfizgfa7hhtx7tp3). At this early draft stage, I think it is correct to label as 'credible'.
	-Frederic Hans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tc={EAA1713B-B43A-4454-8FFA-D68A15A15B85}</author>
    <author>tc={7D024AB9-B7EE-4D0C-A841-5409671F53EB}</author>
    <author>tc={5A56A61E-CEF2-403C-B11C-77C1AC8D052E}</author>
    <author>tc={BDEDB3D8-01EC-4102-BD4F-CD34DD6542BB}</author>
    <author>tc={9974E02A-4B97-48BA-8F98-92CCBB09D161}</author>
    <author>tc={5757FAF1-8289-4E37-99D6-26819C1DBA78}</author>
    <author>tc={A377BDC8-4A47-4481-B1C7-93B0964CBE3F}</author>
    <author>tc={86413653-0E27-4618-B46D-1DB9288A840F}</author>
    <author>tc={8329FF33-2E50-4CCF-939F-8A1137867743}</author>
    <author>tc={E1561ACF-1BCE-4442-94C0-9D5DCF963E1A}</author>
    <author>tc={8168B5F3-93BF-45FB-8A10-F65CD411E004}</author>
    <author>tc={EED9C2C8-8559-4436-BE05-65AE068AFB45}</author>
    <author>tc={2A800574-4B38-4160-B036-42E0975EB9A5}</author>
    <author>tc={DF5E2B31-A894-472E-82FB-67DA78FCF2BB}</author>
    <author>tc={6F87BB69-6E50-4745-BE0A-83705B973A08}</author>
    <author>tc={390B12CA-94D1-42A6-9348-4FD78EF3CB60}</author>
    <author>tc={C6BD467A-D460-493F-B071-9B2670348323}</author>
    <author>tc={57EF3C17-E4B5-4F3D-97C7-C5090845F0DE}</author>
    <author>tc={09AC7A23-8B92-48DC-B86D-188517F00994}</author>
    <author>tc={B033B675-2C9D-4A0D-8E71-4D51797E3B2A}</author>
    <author>tc={AFA9BCB3-7FAC-4AC8-BDED-43A1F6DD81E1}</author>
    <author>tc={C63E9690-E454-4DE3-96E9-2CD337132DCD}</author>
    <author>tc={6A5EA20A-BA38-45B0-9EFF-E6747FE81200}</author>
    <author>tc={B379AC3C-88A8-452F-AD21-4A13B3944365}</author>
    <author>tc={B07EB35C-F180-462C-B042-10B546462ACC}</author>
    <author>tc={CB6FD007-063F-4B94-961F-35B35C587B56}</author>
    <author>tc={B3A2CF62-0F4F-4475-9338-F1FEC9C7C45E}</author>
    <author>tc={5F731983-8EBF-4AFD-B282-4E141313FD22}</author>
    <author>tc={6654538D-D54C-4BDC-886F-4AF430FE8AF8}</author>
    <author>tc={CF8DB261-D17E-4EE3-90BA-D5A7E061D03E}</author>
    <author>tc={5EE08416-177F-4E3F-9697-829415124D92}</author>
    <author>tc={2073B8CE-C5BC-40B4-A705-E4CB6317540D}</author>
    <author>tc={C9121D43-790E-47CB-8C15-92F975B08961}</author>
    <author>tc={6E1C094A-B055-4DA0-BEA1-757D93574941}</author>
    <author>tc={A829E5FB-5503-4BC8-8FA9-CAC391FBF575}</author>
    <author>tc={5A6C34AB-D3C4-48F3-90B1-4880FCF938E3}</author>
    <author>tc={90DDBA0E-8B74-4DD2-B8B8-DD040E40900A}</author>
  </authors>
  <commentList>
    <comment ref="F3" authorId="0" shapeId="0" xr:uid="{0CE20A06-C4F4-4732-A8ED-6F104CBAB090}">
      <text>
        <r>
          <rPr>
            <sz val="10"/>
            <color rgb="FF000000"/>
            <rFont val="Arial"/>
            <family val="2"/>
            <scheme val="minor"/>
          </rPr>
          <t>Based on the average of the underlying studies, which can be different from the last reporting year emission</t>
        </r>
      </text>
    </comment>
    <comment ref="K4" authorId="1" shapeId="0" xr:uid="{EAA1713B-B43A-4454-8FFA-D68A15A15B85}">
      <text>
        <t xml:space="preserve">[Threaded comment]
Your version of Excel allows you to read this threaded comment; however, any edits to it will get removed if the file is opened in a newer version of Excel. Learn more: https://go.microsoft.com/fwlink/?linkid=870924
Comment:
    Changed from UNCLEAR to GHG per Chapter 3 analysis </t>
      </text>
    </comment>
    <comment ref="N4" authorId="2" shapeId="0" xr:uid="{7D024AB9-B7EE-4D0C-A841-5409671F53EB}">
      <text>
        <t>[Threaded comment]
Your version of Excel allows you to read this threaded comment; however, any edits to it will get removed if the file is opened in a newer version of Excel. Learn more: https://go.microsoft.com/fwlink/?linkid=870924
Comment:
    Argentina does have an LTS, so I would suggest deferring to CAT coding here rather than NZT and classifying as "Weaker"</t>
      </text>
    </comment>
    <comment ref="N5" authorId="3" shapeId="0" xr:uid="{5A56A61E-CEF2-403C-B11C-77C1AC8D052E}">
      <text>
        <t xml:space="preserve">[Threaded comment]
Your version of Excel allows you to read this threaded comment; however, any edits to it will get removed if the file is opened in a newer version of Excel. Learn more: https://go.microsoft.com/fwlink/?linkid=870924
Comment:
    Our Science paper coded Australia as “weaker,” but the group this summer opted to consider this plan credible for Chapter 3. So, would suggest coding as “Credible.”
</t>
      </text>
    </comment>
    <comment ref="N8" authorId="4" shapeId="0" xr:uid="{BDEDB3D8-01EC-4102-BD4F-CD34DD6542BB}">
      <text>
        <t xml:space="preserve">[Threaded comment]
Your version of Excel allows you to read this threaded comment; however, any edits to it will get removed if the file is opened in a newer version of Excel. Learn more: https://go.microsoft.com/fwlink/?linkid=870924
Comment:
    Our Science paper coded Canada as "credible,” but the two data sources seem to reach consensus on incompleteness. Suggest changing to weaker
</t>
      </text>
    </comment>
    <comment ref="K10" authorId="5" shapeId="0" xr:uid="{9974E02A-4B97-48BA-8F98-92CCBB09D161}">
      <text>
        <t>[Threaded comment]
Your version of Excel allows you to read this threaded comment; however, any edits to it will get removed if the file is opened in a newer version of Excel. Learn more: https://go.microsoft.com/fwlink/?linkid=870924
Comment:
    Changed from UNCLEAR to CO2 per Chapter 3 analysis - this might have real impact on model output?</t>
      </text>
    </comment>
    <comment ref="N10" authorId="6" shapeId="0" xr:uid="{5757FAF1-8289-4E37-99D6-26819C1DBA78}">
      <text>
        <t>[Threaded comment]
Your version of Excel allows you to read this threaded comment; however, any edits to it will get removed if the file is opened in a newer version of Excel. Learn more: https://go.microsoft.com/fwlink/?linkid=870924
Comment:
    Our Science paper coded China as "credible,” but the two data sources seem to reach consensus on incompleteness. Suggest changing to weaker</t>
      </text>
    </comment>
    <comment ref="N11" authorId="7" shapeId="0" xr:uid="{A377BDC8-4A47-4481-B1C7-93B0964CBE3F}">
      <text>
        <t>[Threaded comment]
Your version of Excel allows you to read this threaded comment; however, any edits to it will get removed if the file is opened in a newer version of Excel. Learn more: https://go.microsoft.com/fwlink/?linkid=870924
Comment:
    Defer to CAT</t>
      </text>
    </comment>
    <comment ref="N13" authorId="8" shapeId="0" xr:uid="{86413653-0E27-4618-B46D-1DB9288A840F}">
      <text>
        <t xml:space="preserve">[Threaded comment]
Your version of Excel allows you to read this threaded comment; however, any edits to it will get removed if the file is opened in a newer version of Excel. Learn more: https://go.microsoft.com/fwlink/?linkid=870924
Comment:
    Our Science paper coded India as “none” but the group this summer opted to consider this plan credible, with Sarah from CAT noting that “India has submitted an LTS. In the LTS, India outlines sector-specific action areas, targeting the power, industry, transport, building, and urban sectors. Yet the LTS does not provide sufficiently clear policy guidance on how the government intends to achieve net zero beyond its current policies and programmes. Would accordingly suggest changing to “Weaker.”
</t>
      </text>
    </comment>
    <comment ref="K14" authorId="9" shapeId="0" xr:uid="{8329FF33-2E50-4CCF-939F-8A1137867743}">
      <text>
        <t>[Threaded comment]
Your version of Excel allows you to read this threaded comment; however, any edits to it will get removed if the file is opened in a newer version of Excel. Learn more: https://go.microsoft.com/fwlink/?linkid=870924
Comment:
    Technically, Indonesia only mentions coverage of CO2, CH4, and N2O and not all GHGs… but it's just not CO2 either, so hesitant to bump down to just CO2. I think we should leave as is, which is UNCLEAR</t>
      </text>
    </comment>
    <comment ref="N14" authorId="10" shapeId="0" xr:uid="{E1561ACF-1BCE-4442-94C0-9D5DCF963E1A}">
      <text>
        <t xml:space="preserve">[Threaded comment]
Your version of Excel allows you to read this threaded comment; however, any edits to it will get removed if the file is opened in a newer version of Excel. Learn more: https://go.microsoft.com/fwlink/?linkid=870924
Comment:
    Our Science paper coded Indonesia as “none,” but Chapter 3 notes the credibility of the plan as “inconclusive” – suggest changing to “Weaker” to acknowledge that there is indeed a plan, albeit one the Chapter 3 group does not view as particularly strong. 
</t>
      </text>
    </comment>
    <comment ref="N15" authorId="11" shapeId="0" xr:uid="{8168B5F3-93BF-45FB-8A10-F65CD411E004}">
      <text>
        <t xml:space="preserve">[Threaded comment]
Your version of Excel allows you to read this threaded comment; however, any edits to it will get removed if the file is opened in a newer version of Excel. Learn more: https://go.microsoft.com/fwlink/?linkid=870924
Comment:
    The Science paper coded Japan as "credible," where Chapter 3 viewed the credibility of the plan as "inconclusive.” Frederic from CAT wrote this summer: “While Japan’s net zero target and measures have been developed and described in its Green Growth Strategy as well as Long Term Strategy, its pathway to net-zero particularly after 2030 towards 2050 remains unclear. The absolute reductions as well as removal targets in 2050 are not clearly communicated." Suggest changing to “Weaker” to acknowledge that there is indeed a plan, albeit one the Chapter 3 group does not view as particularly strong. 
</t>
      </text>
    </comment>
    <comment ref="K17" authorId="12" shapeId="0" xr:uid="{EED9C2C8-8559-4436-BE05-65AE068AFB45}">
      <text>
        <t>[Threaded comment]
Your version of Excel allows you to read this threaded comment; however, any edits to it will get removed if the file is opened in a newer version of Excel. Learn more: https://go.microsoft.com/fwlink/?linkid=870924
Comment:
    Changed from GHG to UNCLEAR per Chapter 3 analysis</t>
      </text>
    </comment>
    <comment ref="N17" authorId="13" shapeId="0" xr:uid="{2A800574-4B38-4160-B036-42E0975EB9A5}">
      <text>
        <t>[Threaded comment]
Your version of Excel allows you to read this threaded comment; however, any edits to it will get removed if the file is opened in a newer version of Excel. Learn more: https://go.microsoft.com/fwlink/?linkid=870924
Comment:
    Per consensus from Chapter 3 group</t>
      </text>
    </comment>
    <comment ref="K20" authorId="14" shapeId="0" xr:uid="{DF5E2B31-A894-472E-82FB-67DA78FCF2BB}">
      <text>
        <t>[Threaded comment]
Your version of Excel allows you to read this threaded comment; however, any edits to it will get removed if the file is opened in a newer version of Excel. Learn more: https://go.microsoft.com/fwlink/?linkid=870924
Comment:
    Changed from UNCLEAR to GHG per Chapter 3 analysis</t>
      </text>
    </comment>
    <comment ref="N20" authorId="15" shapeId="0" xr:uid="{6F87BB69-6E50-4745-BE0A-83705B973A08}">
      <text>
        <t xml:space="preserve">[Threaded comment]
Your version of Excel allows you to read this threaded comment; however, any edits to it will get removed if the file is opened in a newer version of Excel. Learn more: https://go.microsoft.com/fwlink/?linkid=870924
Comment:
    Per consensus across CAT and NZT on incompleteness </t>
      </text>
    </comment>
    <comment ref="N23" authorId="16" shapeId="0" xr:uid="{390B12CA-94D1-42A6-9348-4FD78EF3CB60}">
      <text>
        <t xml:space="preserve">[Threaded comment]
Your version of Excel allows you to read this threaded comment; however, any edits to it will get removed if the file is opened in a newer version of Excel. Learn more: https://go.microsoft.com/fwlink/?linkid=870924
Comment:
    Per consensus from CAT and NZT on incompleteness </t>
      </text>
    </comment>
    <comment ref="N24" authorId="17" shapeId="0" xr:uid="{C6BD467A-D460-493F-B071-9B2670348323}">
      <text>
        <t>[Threaded comment]
Your version of Excel allows you to read this threaded comment; however, any edits to it will get removed if the file is opened in a newer version of Excel. Learn more: https://go.microsoft.com/fwlink/?linkid=870924
Comment:
    Per consensus from Chapter 3 group</t>
      </text>
    </comment>
    <comment ref="N25" authorId="18" shapeId="0" xr:uid="{57EF3C17-E4B5-4F3D-97C7-C5090845F0DE}">
      <text>
        <t>[Threaded comment]
Your version of Excel allows you to read this threaded comment; however, any edits to it will get removed if the file is opened in a newer version of Excel. Learn more: https://go.microsoft.com/fwlink/?linkid=870924
Comment:
    Per consensus from Chapter 3 group</t>
      </text>
    </comment>
    <comment ref="H26" authorId="0" shapeId="0" xr:uid="{92007FEA-E636-48C3-82BD-54BA1A341168}">
      <text>
        <r>
          <rPr>
            <sz val="10"/>
            <color rgb="FF000000"/>
            <rFont val="Arial"/>
            <family val="2"/>
            <scheme val="minor"/>
          </rPr>
          <t>JRC2021
	-Takeshi Kuramochi</t>
        </r>
      </text>
    </comment>
    <comment ref="N26" authorId="19" shapeId="0" xr:uid="{09AC7A23-8B92-48DC-B86D-188517F00994}">
      <text>
        <t>[Threaded comment]
Your version of Excel allows you to read this threaded comment; however, any edits to it will get removed if the file is opened in a newer version of Excel. Learn more: https://go.microsoft.com/fwlink/?linkid=870924
Comment:
    Per NZT analysis</t>
      </text>
    </comment>
    <comment ref="I28" authorId="20" shapeId="0" xr:uid="{B033B675-2C9D-4A0D-8E71-4D51797E3B2A}">
      <text>
        <t xml:space="preserve">[Threaded comment]
Your version of Excel allows you to read this threaded comment; however, any edits to it will get removed if the file is opened in a newer version of Excel. Learn more: https://go.microsoft.com/fwlink/?linkid=870924
Comment:
    We are classifying this year as "Other" in chapter 3 because their law actually provides a range of 2050-2070. 2060 may still be the most reasonable data point to incorporate into this model. </t>
      </text>
    </comment>
    <comment ref="N28" authorId="21" shapeId="0" xr:uid="{AFA9BCB3-7FAC-4AC8-BDED-43A1F6DD81E1}">
      <text>
        <t xml:space="preserve">[Threaded comment]
Your version of Excel allows you to read this threaded comment; however, any edits to it will get removed if the file is opened in a newer version of Excel. Learn more: https://go.microsoft.com/fwlink/?linkid=870924
Comment:
    Per consensus across CAT and NZT on incompleteness </t>
      </text>
    </comment>
    <comment ref="I31" authorId="22" shapeId="0" xr:uid="{C63E9690-E454-4DE3-96E9-2CD337132DCD}">
      <text>
        <t xml:space="preserve">[Threaded comment]
Your version of Excel allows you to read this threaded comment; however, any edits to it will get removed if the file is opened in a newer version of Excel. Learn more: https://go.microsoft.com/fwlink/?linkid=870924
Comment:
    Thailand has committed to net-zero CO2 by 2050 (as indicated here), but also to net-zero GHGs by 2065. I defer to lead authors on which target to include here, noting that I'm sure the temperature impact will be minute. </t>
      </text>
    </comment>
    <comment ref="N31" authorId="23" shapeId="0" xr:uid="{6A5EA20A-BA38-45B0-9EFF-E6747FE81200}">
      <text>
        <t>[Threaded comment]
Your version of Excel allows you to read this threaded comment; however, any edits to it will get removed if the file is opened in a newer version of Excel. Learn more: https://go.microsoft.com/fwlink/?linkid=870924
Comment:
    CAT says comprehensive, NZT says no plan - I know for a fact they do have an LTS plan, so probably we should meet in the middle at weaker?</t>
      </text>
    </comment>
    <comment ref="K32" authorId="24" shapeId="0" xr:uid="{B379AC3C-88A8-452F-AD21-4A13B3944365}">
      <text>
        <t>[Threaded comment]
Your version of Excel allows you to read this threaded comment; however, any edits to it will get removed if the file is opened in a newer version of Excel. Learn more: https://go.microsoft.com/fwlink/?linkid=870924
Comment:
    Updated from UNCLEAR to GHG per Chapter 3 analysis</t>
      </text>
    </comment>
    <comment ref="N32" authorId="25" shapeId="0" xr:uid="{B07EB35C-F180-462C-B042-10B546462ACC}">
      <text>
        <t>[Threaded comment]
Your version of Excel allows you to read this threaded comment; however, any edits to it will get removed if the file is opened in a newer version of Excel. Learn more: https://go.microsoft.com/fwlink/?linkid=870924
Comment:
    CAT says comprehensive, NZT says no plan - I know for a fact they do have a plan via their LTS, so probably we should meet in the middle at weaker?</t>
      </text>
    </comment>
    <comment ref="K33" authorId="26" shapeId="0" xr:uid="{CB6FD007-063F-4B94-961F-35B35C587B56}">
      <text>
        <t>[Threaded comment]
Your version of Excel allows you to read this threaded comment; however, any edits to it will get removed if the file is opened in a newer version of Excel. Learn more: https://go.microsoft.com/fwlink/?linkid=870924
Comment:
    Updated to UNCLEAR from CO2 per Chapter 3 analysis</t>
      </text>
    </comment>
    <comment ref="N34" authorId="27" shapeId="0" xr:uid="{B3A2CF62-0F4F-4475-9338-F1FEC9C7C45E}">
      <text>
        <t>[Threaded comment]
Your version of Excel allows you to read this threaded comment; however, any edits to it will get removed if the file is opened in a newer version of Excel. Learn more: https://go.microsoft.com/fwlink/?linkid=870924
Comment:
    To indicate disagreement between two trackers? The Chapter 3 group didn't discuss in depth because we only examined G20 countries</t>
      </text>
    </comment>
    <comment ref="N35" authorId="28" shapeId="0" xr:uid="{5F731983-8EBF-4AFD-B282-4E141313FD22}">
      <text>
        <t>[Threaded comment]
Your version of Excel allows you to read this threaded comment; however, any edits to it will get removed if the file is opened in a newer version of Excel. Learn more: https://go.microsoft.com/fwlink/?linkid=870924
Comment:
    To indicate disagreement between the two trackers? The Chapter 3 group didn't discuss in depth because we only examined G20 countries</t>
      </text>
    </comment>
    <comment ref="N36" authorId="29" shapeId="0" xr:uid="{6654538D-D54C-4BDC-886F-4AF430FE8AF8}">
      <text>
        <t xml:space="preserve">[Threaded comment]
Your version of Excel allows you to read this threaded comment; however, any edits to it will get removed if the file is opened in a newer version of Excel. Learn more: https://go.microsoft.com/fwlink/?linkid=870924
Comment:
    Per consensus from both CAT and NZT on incompleteness </t>
      </text>
    </comment>
    <comment ref="N37" authorId="30" shapeId="0" xr:uid="{CF8DB261-D17E-4EE3-90BA-D5A7E061D03E}">
      <text>
        <t>[Threaded comment]
Your version of Excel allows you to read this threaded comment; however, any edits to it will get removed if the file is opened in a newer version of Excel. Learn more: https://go.microsoft.com/fwlink/?linkid=870924
Comment:
    To indicate disagreement between the two trackers? The Chapter 3 group didn't discuss in depth because we only examined G20 countries</t>
      </text>
    </comment>
    <comment ref="B38" authorId="0" shapeId="0" xr:uid="{033D4FE9-A44D-48CD-A4C8-3F1A9B0C995E}">
      <text>
        <r>
          <rPr>
            <sz val="10"/>
            <color rgb="FF000000"/>
            <rFont val="Arial"/>
            <family val="2"/>
            <scheme val="minor"/>
          </rPr>
          <t>Would recommend removing Egypt, Ethiopia, and Iran, since they are not in the G20 and do not have a net-zero target
	-Clea Schumer
Just FYI, we consider Ethiopia having a net-zero target evaluated as 'target information incomplete' (see our assessment as of 9 Nov 2022 here: https://climateactiontracker.org/countries/ethiopia/net-zero-targets/). 
Ethiopia intends to become ‘carbon neutral’, but has not specified a target year (FDRE, 2015). Ethiopia has not submitted a Long-Term Low Emission Development Strategy to the UNFCCC as of August 2022, but is in the process of developing one with support from the Global Green Growth Institute (GGGI, 2022). This process will include developing business as usual and net zero emissions scenarios. In 2020, Ethiopia joined the Climate Ambition Alliance: Net zero by 2050, but it is unclear what this means for Ethiopia’s net zero ambitions (Climate Ambition Alliance, 2019).
	-Frederic Hans</t>
        </r>
      </text>
    </comment>
    <comment ref="I39" authorId="31" shapeId="0" xr:uid="{5EE08416-177F-4E3F-9697-829415124D92}">
      <text>
        <t>[Threaded comment]
Your version of Excel allows you to read this threaded comment; however, any edits to it will get removed if the file is opened in a newer version of Excel. Learn more: https://go.microsoft.com/fwlink/?linkid=870924
Comment:
    New target from Ethiopia since Science analysis</t>
      </text>
    </comment>
    <comment ref="N39" authorId="32" shapeId="0" xr:uid="{2073B8CE-C5BC-40B4-A705-E4CB6317540D}">
      <text>
        <t>[Threaded comment]
Your version of Excel allows you to read this threaded comment; however, any edits to it will get removed if the file is opened in a newer version of Excel. Learn more: https://go.microsoft.com/fwlink/?linkid=870924
Comment:
    I know they do have a plan, just recently launched, so let's mark it as weaker in keeping with NZT? (I assume CAT just hasn't updated their data yet)</t>
      </text>
    </comment>
    <comment ref="K41" authorId="33" shapeId="0" xr:uid="{C9121D43-790E-47CB-8C15-92F975B08961}">
      <text>
        <t>[Threaded comment]
Your version of Excel allows you to read this threaded comment; however, any edits to it will get removed if the file is opened in a newer version of Excel. Learn more: https://go.microsoft.com/fwlink/?linkid=870924
Comment:
    Updated to UNCLEAR from GHG per Chapter 3 analysis</t>
      </text>
    </comment>
    <comment ref="H42" authorId="0" shapeId="0" xr:uid="{79B26D01-48AA-4222-BF89-7DCF93F07040}">
      <text>
        <r>
          <rPr>
            <sz val="10"/>
            <color rgb="FF000000"/>
            <rFont val="Arial"/>
            <family val="2"/>
            <scheme val="minor"/>
          </rPr>
          <t>Climate Resource 2022. Excludes LULUCF
	-Takeshi Kuramochi</t>
        </r>
      </text>
    </comment>
    <comment ref="I42" authorId="34" shapeId="0" xr:uid="{6E1C094A-B055-4DA0-BEA1-757D93574941}">
      <text>
        <t>[Threaded comment]
Your version of Excel allows you to read this threaded comment; however, any edits to it will get removed if the file is opened in a newer version of Excel. Learn more: https://go.microsoft.com/fwlink/?linkid=870924
Comment:
    New target to add and make sure other sections are updated as needed too</t>
      </text>
    </comment>
    <comment ref="N43" authorId="35" shapeId="0" xr:uid="{A829E5FB-5503-4BC8-8FA9-CAC391FBF575}">
      <text>
        <t xml:space="preserve">[Threaded comment]
Your version of Excel allows you to read this threaded comment; however, any edits to it will get removed if the file is opened in a newer version of Excel. Learn more: https://go.microsoft.com/fwlink/?linkid=870924
Comment:
    The Chapter 3 group didn't discuss in depth because we only examined G20 countries. I am inclined to mark this as credible rather than weaker, in deference to NZT's analysis in this case, because of their LTS. </t>
      </text>
    </comment>
    <comment ref="N45" authorId="36" shapeId="0" xr:uid="{5A6C34AB-D3C4-48F3-90B1-4880FCF938E3}">
      <text>
        <t xml:space="preserve">[Threaded comment]
Your version of Excel allows you to read this threaded comment; however, any edits to it will get removed if the file is opened in a newer version of Excel. Learn more: https://go.microsoft.com/fwlink/?linkid=870924
Comment:
    Per consensus between CAT and NZT on incompleteness </t>
      </text>
    </comment>
    <comment ref="N46" authorId="37" shapeId="0" xr:uid="{90DDBA0E-8B74-4DD2-B8B8-DD040E40900A}">
      <text>
        <t xml:space="preserve">[Threaded comment]
Your version of Excel allows you to read this threaded comment; however, any edits to it will get removed if the file is opened in a newer version of Excel. Learn more: https://go.microsoft.com/fwlink/?linkid=870924
Comment:
    Per consensus between CAT and NZT on incompleteness </t>
      </text>
    </comment>
  </commentList>
</comments>
</file>

<file path=xl/sharedStrings.xml><?xml version="1.0" encoding="utf-8"?>
<sst xmlns="http://schemas.openxmlformats.org/spreadsheetml/2006/main" count="1228" uniqueCount="256">
  <si>
    <t>EGR 2022 ANALYSIS (Fig 3_4), extended with other sources (all incl. LULUCF)</t>
  </si>
  <si>
    <t>CLIMATE WATCH ANALYSIS</t>
  </si>
  <si>
    <t>CAT</t>
  </si>
  <si>
    <t>EGR2022</t>
  </si>
  <si>
    <t>OLD-NOT USED</t>
  </si>
  <si>
    <t>Country</t>
  </si>
  <si>
    <t>3LC</t>
  </si>
  <si>
    <t>Current emissions</t>
  </si>
  <si>
    <t>NDC Emissions</t>
  </si>
  <si>
    <t>Current Policies</t>
  </si>
  <si>
    <t>CAIT Data</t>
  </si>
  <si>
    <t>Net zero target</t>
  </si>
  <si>
    <t>Current policy projection on downward path (2030 emissions, incl. LULUCF, at least 10% below 2020)</t>
  </si>
  <si>
    <t>Added 23 Feb</t>
  </si>
  <si>
    <t>Confidence assessment</t>
  </si>
  <si>
    <t>Unit</t>
  </si>
  <si>
    <t>Year</t>
  </si>
  <si>
    <t>Total</t>
  </si>
  <si>
    <t>Emissions (MtCO2e/yr, 2019)</t>
  </si>
  <si>
    <t>Share of global emissions</t>
  </si>
  <si>
    <t>Net zero target applicable to</t>
  </si>
  <si>
    <t>Legally binding</t>
  </si>
  <si>
    <r>
      <rPr>
        <sz val="8"/>
        <color rgb="FF000000"/>
        <rFont val="Arial"/>
        <family val="2"/>
      </rPr>
      <t>Published plan (</t>
    </r>
    <r>
      <rPr>
        <b/>
        <sz val="8"/>
        <color rgb="FF000000"/>
        <rFont val="Arial"/>
        <family val="2"/>
      </rPr>
      <t>BOLD: manually coded</t>
    </r>
    <r>
      <rPr>
        <sz val="8"/>
        <color rgb="FF000000"/>
        <rFont val="Arial"/>
        <family val="2"/>
      </rPr>
      <t>)</t>
    </r>
  </si>
  <si>
    <t>10% below 2020</t>
  </si>
  <si>
    <t>0% below 2020</t>
  </si>
  <si>
    <t>20% below 2020</t>
  </si>
  <si>
    <t>Published plan assessment notes</t>
  </si>
  <si>
    <t>Current policy trends (and 2020 emission estimates where relevant) - assessment notes for 10% threshold</t>
  </si>
  <si>
    <t>Source Current Policy projection trends</t>
  </si>
  <si>
    <t>NDC on downward path (2030 emissions at least 10% below last historic data point)</t>
  </si>
  <si>
    <t>Current policy projection on downward path (2030 emissions at least 10% below last historic data point)</t>
  </si>
  <si>
    <t>Argentina</t>
  </si>
  <si>
    <t>ARG</t>
  </si>
  <si>
    <t>MtCO2e/yr</t>
  </si>
  <si>
    <t>UNCLEAR</t>
  </si>
  <si>
    <t>N</t>
  </si>
  <si>
    <t>n</t>
  </si>
  <si>
    <t>See 'CAT_NZ_Nov22' sheet</t>
  </si>
  <si>
    <t>Figure 3.4 UNEP Emissions Gap report Chapter 3</t>
  </si>
  <si>
    <t>Australia</t>
  </si>
  <si>
    <t>AUS</t>
  </si>
  <si>
    <t>GHG</t>
  </si>
  <si>
    <t>Y</t>
  </si>
  <si>
    <t>y</t>
  </si>
  <si>
    <t>3 of 5 says no. Nascimento et al 2022 reports between -34% to -16% below 2015 levels. JRC reports an increase</t>
  </si>
  <si>
    <t>Brazil</t>
  </si>
  <si>
    <t>BRA</t>
  </si>
  <si>
    <t>Canada</t>
  </si>
  <si>
    <t>CAN</t>
  </si>
  <si>
    <t xml:space="preserve">3 of 4 says no, incl. official projection. Only JRC projects -21% reduction. Official projections also only -3%. Nascimento et al 2022 reports between -3% and 0% below 2015 levels. </t>
  </si>
  <si>
    <t>China</t>
  </si>
  <si>
    <t>CHN</t>
  </si>
  <si>
    <t>European Union</t>
  </si>
  <si>
    <t>EU27</t>
  </si>
  <si>
    <t>India</t>
  </si>
  <si>
    <t>IND</t>
  </si>
  <si>
    <t>Indonesia</t>
  </si>
  <si>
    <t>IDN</t>
  </si>
  <si>
    <t>Japan</t>
  </si>
  <si>
    <t>JPN</t>
  </si>
  <si>
    <t>2 of 3 says no. Only CAT lower bound projects -20% reduction. Nascimento et al 2022 reports  between -31% and -18% below 2015 levels. JRC shows similar result</t>
  </si>
  <si>
    <t>Mexico</t>
  </si>
  <si>
    <t>MEX</t>
  </si>
  <si>
    <t>NOTARGET</t>
  </si>
  <si>
    <t>No NZT</t>
  </si>
  <si>
    <t>Republic of Korea</t>
  </si>
  <si>
    <t>KOR</t>
  </si>
  <si>
    <t xml:space="preserve">2 of 3 says yes (CAT say no). </t>
  </si>
  <si>
    <t>Russian Federation</t>
  </si>
  <si>
    <t>RUS</t>
  </si>
  <si>
    <t>Saudi Arabia</t>
  </si>
  <si>
    <t>SAU</t>
  </si>
  <si>
    <t>South Africa</t>
  </si>
  <si>
    <t>ZAF</t>
  </si>
  <si>
    <t>CO2</t>
  </si>
  <si>
    <t>2 of 3 says yes (CAT say no). CAT not on track, JRC and PBL shows more than -10% reduction. Nascimento et al 2022 reports  between -19% and -5% below 2015 levels. JRC also has a decrease of more than 20%</t>
  </si>
  <si>
    <t>TUR</t>
  </si>
  <si>
    <t>United Kingdom of Great Britain and Northern Ireland</t>
  </si>
  <si>
    <t>GBR</t>
  </si>
  <si>
    <t>United States of America</t>
  </si>
  <si>
    <t>USA</t>
  </si>
  <si>
    <t>Malaysia</t>
  </si>
  <si>
    <t>MYS</t>
  </si>
  <si>
    <t>None</t>
  </si>
  <si>
    <t>The latest planning document states the 2050 net zero target, but the planning only goes up to 2025 (https://rmke12.epu.gov.my/file/download/2021092722_twelfth_malaysia_plan.pdf?path=fileUpload/2021/09/2021092722_twelfth_malaysia_plan.pdf&amp;name=Twelfth%20Plan%20Document.pdf)</t>
  </si>
  <si>
    <t>Keramidas et al. (2021)</t>
  </si>
  <si>
    <t>http://doi.org/10.2760/410610</t>
  </si>
  <si>
    <t>Nigeria</t>
  </si>
  <si>
    <t>NGA</t>
  </si>
  <si>
    <t>https://climateactiontracker.org/countries/nigeria/</t>
  </si>
  <si>
    <t>Thailand</t>
  </si>
  <si>
    <t>THA</t>
  </si>
  <si>
    <t>https://newclimate.org/resources/publications/emissions-scenarios-for-major-economies-2022-update</t>
  </si>
  <si>
    <t>Kazakhstan</t>
  </si>
  <si>
    <t>KAZ</t>
  </si>
  <si>
    <t>https://newclimate.org/sites/default/files/2021/11/NewClimate_TrackingCurrentPolicies_Nov21.pdf</t>
  </si>
  <si>
    <t>Ukraine</t>
  </si>
  <si>
    <t>UKR</t>
  </si>
  <si>
    <t>CAT NZT evaluation Nov 2021</t>
  </si>
  <si>
    <t>Last CAT assessment in Nov 2021</t>
  </si>
  <si>
    <t>Vietnam</t>
  </si>
  <si>
    <t>VNM</t>
  </si>
  <si>
    <t>Colombia</t>
  </si>
  <si>
    <t>COL</t>
  </si>
  <si>
    <t>United Arab Emirates</t>
  </si>
  <si>
    <t>ARE</t>
  </si>
  <si>
    <t>Chile</t>
  </si>
  <si>
    <t>CHL</t>
  </si>
  <si>
    <t>Egypt</t>
  </si>
  <si>
    <t>EGY</t>
  </si>
  <si>
    <t>No NetZero target</t>
  </si>
  <si>
    <t>Ethiopia</t>
  </si>
  <si>
    <t>ETH</t>
  </si>
  <si>
    <t>Iran</t>
  </si>
  <si>
    <t>IRN</t>
  </si>
  <si>
    <t>Morocco</t>
  </si>
  <si>
    <t>MAR</t>
  </si>
  <si>
    <t>Israel</t>
  </si>
  <si>
    <t>ISR</t>
  </si>
  <si>
    <t>As of November 2022, Israel has not published an official document (https://www.timesofisrael.com/israel-joins-us-canada-plan-for-net-zero-carbon-emissions-in-government-by-2050/). The official long-term target is an 85% reduction from 2015 levels by 2050 (https://www.gov.il/BlobFolder/reports/implementation-plan/en/climate_change_and_energy_efficiency_implementation-plan-en.pdf)</t>
  </si>
  <si>
    <t>Based on the average of high and low projections by Nascimento et al. (2021): https://newclimate.org/sites/default/files/2021/11/NewClimate_TrackingCurrentPolicies_Nov21.pdf</t>
  </si>
  <si>
    <t>New Zealand</t>
  </si>
  <si>
    <t>NZL</t>
  </si>
  <si>
    <t>Cambodia</t>
  </si>
  <si>
    <t>KHM</t>
  </si>
  <si>
    <t>Credible</t>
  </si>
  <si>
    <t>Long-term strategy (https://unfccc.int/sites/default/files/resource/KHM_LTS_Dec2021.pdf) assessed by authors based on the Climate Action Tracker assessment framework.</t>
  </si>
  <si>
    <t>Based on the BAU scenario reported in the long-term strategy document (https://unfccc.int/sites/default/files/resource/KHM_LTS_Dec2021.pdf)</t>
  </si>
  <si>
    <t>https://unfccc.int/sites/default/files/resource/KHM_LTS_Dec2021.pdf</t>
  </si>
  <si>
    <t>Singapore</t>
  </si>
  <si>
    <t>SGP</t>
  </si>
  <si>
    <t>Nepal</t>
  </si>
  <si>
    <t>NPL</t>
  </si>
  <si>
    <t>Long-term strategy (https://unfccc.int/sites/default/files/resource/NepalLTLEDS.pdf) assessed by authors based on the Climate Action Tracker assessment framework.</t>
  </si>
  <si>
    <t xml:space="preserve">CAT Sept 2021 update. LULUCF emissions in 2020 and 2030 assumed to remain constant at the level of the last inventory data year (2011) due to the lack of information. Values in AR4 GWPs used without conversion to AR6 GWPs due to the uncertainty on the LULUCF emission levels. </t>
  </si>
  <si>
    <t>https://climateactiontracker.org/countries/nepal/</t>
  </si>
  <si>
    <t>Nascimento 2022 - PBL NewClimate IIASA</t>
  </si>
  <si>
    <t>Nascimento 2021 - LSEG</t>
  </si>
  <si>
    <t>JRC 2021</t>
  </si>
  <si>
    <t>CAT latest</t>
  </si>
  <si>
    <t>Climate Resource</t>
  </si>
  <si>
    <t>LTS</t>
  </si>
  <si>
    <t>Climate Action Tracker:</t>
  </si>
  <si>
    <t>Overview of Climate Action Tracker’s net zero target evaluations for G20 member countries (excluding France and Italy as both not separately analysed by the CAT) and selected other countries per key elements as of November 2022</t>
  </si>
  <si>
    <t>Date Published:</t>
  </si>
  <si>
    <t>Climate Action Tracker Data:</t>
  </si>
  <si>
    <t>Do not redistribute without prior permission of the Climate Action Tracker team. Any reproduction of this data in graphical or numerical format must include credit to the Climate Action Tracker project.</t>
  </si>
  <si>
    <t>For further details on methodology, please see the Climate Action Tracker website:</t>
  </si>
  <si>
    <t>climateactiontracker.org/global/cat-net-zero-target-evaluations</t>
  </si>
  <si>
    <t>ISO</t>
  </si>
  <si>
    <t>Overall Rating</t>
  </si>
  <si>
    <t>Target year</t>
  </si>
  <si>
    <t>Emissions coverage</t>
  </si>
  <si>
    <t>International aviation and shipping</t>
  </si>
  <si>
    <t>Reductions or removals outside of own border</t>
  </si>
  <si>
    <t>Legal status</t>
  </si>
  <si>
    <t>Separate reduction &amp; removal targets</t>
  </si>
  <si>
    <t>Review process</t>
  </si>
  <si>
    <t>Carbon dioxide removal</t>
  </si>
  <si>
    <t>Comprehensive planning</t>
  </si>
  <si>
    <t>Clarity on fairness of target</t>
  </si>
  <si>
    <t>Comprehensive planning: score</t>
  </si>
  <si>
    <t>Underlying [government or government-endorsed] analysis identifies pathway and key measures for reaching net zero, with sector-specific detail</t>
  </si>
  <si>
    <t>Acceptable</t>
  </si>
  <si>
    <t>All sectors and gases</t>
  </si>
  <si>
    <t>Excluded, or not specified</t>
  </si>
  <si>
    <t>Reaching net zero on own territory</t>
  </si>
  <si>
    <t>In law</t>
  </si>
  <si>
    <t>Yes</t>
  </si>
  <si>
    <t>Transparent assumptions for domestic LULUCF and separately for domestic removals and storage</t>
  </si>
  <si>
    <t>No reference to fairness / equity</t>
  </si>
  <si>
    <t>Some information on anticipated pathway or measures for achieving net zero is available, but with limited detail</t>
  </si>
  <si>
    <t>Transparent assumptions for domestic LULUCF or separately for domestic removals and storage</t>
  </si>
  <si>
    <t>The government clearly explains why its net zero target is a fair contribution to the global goal of limiting warming to 1.5˚C above pre-industrial levels. For developed countries, this statement needs to include an explanation of how the government addresses the gap between its net zero target and what would be a fair target.</t>
  </si>
  <si>
    <t>No pathway, measures or underlying analysis provided</t>
  </si>
  <si>
    <t>Weaker</t>
  </si>
  <si>
    <t>Costa Rica</t>
  </si>
  <si>
    <t>CRI</t>
  </si>
  <si>
    <t>Proposed Legislation or In Policy Document</t>
  </si>
  <si>
    <t>Yes, but non-legally binding or in the process of establishing a review cycle</t>
  </si>
  <si>
    <t>No information provided [only for targets announced or under discussion]</t>
  </si>
  <si>
    <t>Partially included</t>
  </si>
  <si>
    <t>No or not specified</t>
  </si>
  <si>
    <t>United Kingdom</t>
  </si>
  <si>
    <t>Included</t>
  </si>
  <si>
    <t>Reliance on offsetting - or leaving the option open to offset - own emissions with international offset credits (emission reductions or removals) not fulfilling the criteria above</t>
  </si>
  <si>
    <t>Statement explaining why fair share in advisory (but not government) document</t>
  </si>
  <si>
    <t>Viet Nam</t>
  </si>
  <si>
    <t>Average</t>
  </si>
  <si>
    <t>Non-transparent assumptions for domestic LULUCF and domestic removals and storage</t>
  </si>
  <si>
    <t>Germany</t>
  </si>
  <si>
    <t>DEU</t>
  </si>
  <si>
    <t>2050–2070</t>
  </si>
  <si>
    <t>Partial coverage (&gt;95% of emissions excl. bunkers)</t>
  </si>
  <si>
    <t>South Korea</t>
  </si>
  <si>
    <t>Incomplete coverage (&lt;95% of emissions excl. bunkers), or not specified</t>
  </si>
  <si>
    <t>Switzerland</t>
  </si>
  <si>
    <t>CHE</t>
  </si>
  <si>
    <t>Limited reliance on removals outside of own territory (in the order of x% of current national emissions) from technological removal projects with a high certainty of permanence for more than 200 years and which do not negatively impact biodiversity (e.g. direct air capture with mineralisation).</t>
  </si>
  <si>
    <t>No</t>
  </si>
  <si>
    <t>United States</t>
  </si>
  <si>
    <t>Poor</t>
  </si>
  <si>
    <t>The Gambia</t>
  </si>
  <si>
    <t>GMB</t>
  </si>
  <si>
    <t>Türkiye</t>
  </si>
  <si>
    <t>Information incomplete</t>
  </si>
  <si>
    <t>Not defined</t>
  </si>
  <si>
    <t>Target announced by Head of Government or equivalent</t>
  </si>
  <si>
    <t>Peru</t>
  </si>
  <si>
    <t>PER</t>
  </si>
  <si>
    <t>No target</t>
  </si>
  <si>
    <t>Manually coded (no target)</t>
  </si>
  <si>
    <t>Kenya</t>
  </si>
  <si>
    <t>KEN</t>
  </si>
  <si>
    <t>Norway</t>
  </si>
  <si>
    <t>NOR</t>
  </si>
  <si>
    <t>Philippines</t>
  </si>
  <si>
    <t>PHL</t>
  </si>
  <si>
    <t>Copyright © 2022 by Climate Analytics and NewClimate Institute. All rights reserved.</t>
  </si>
  <si>
    <t>The content provided by this website is protected by copyright. You are authorised to view, the copyrighted content from this website subject to the following condition: Any reproduction, in full or in part, must credit Climate Analytics and NewClimate Institute and must include a copyright notice.</t>
  </si>
  <si>
    <t>UNEP EGR2023 implementation progress assessment</t>
  </si>
  <si>
    <t>EGR2023</t>
  </si>
  <si>
    <t>NZT</t>
  </si>
  <si>
    <t>Suggested coding</t>
  </si>
  <si>
    <t>Credibility of plan</t>
  </si>
  <si>
    <t>Weak</t>
  </si>
  <si>
    <t>Weak = There is no information or underlying analysis available on the anticipated pathway or measures to achieve net zero emissions</t>
  </si>
  <si>
    <t xml:space="preserve">Better = Some information on the anticipated pathway or measures for achieving net zero is available, but with limited detail.
</t>
  </si>
  <si>
    <t xml:space="preserve">No plan = Country provides no information on anticipated pathways or measures
</t>
  </si>
  <si>
    <t>No plan</t>
  </si>
  <si>
    <t>Better</t>
  </si>
  <si>
    <t xml:space="preserve">Comprehensive = Underlying (governmental or government-endorsed) analysis that identifies a pathway to and key measures for reaching net zero. The analysis includes sector-specific detail
</t>
  </si>
  <si>
    <t xml:space="preserve">Comprehensive </t>
  </si>
  <si>
    <t>N/A</t>
  </si>
  <si>
    <t>Turkiye</t>
  </si>
  <si>
    <t>No analysis</t>
  </si>
  <si>
    <t>NZT:</t>
  </si>
  <si>
    <t>Incomplete</t>
  </si>
  <si>
    <t>Complete</t>
  </si>
  <si>
    <t>From their codebook, they write: "A detailed plan should include:
Measures for all emission scopes that are covered by the target. For example, if the target covers all gases, but the plan only addresses carbon, this would not be met. Information on the emission reductions expected from these measures within a certain time period. For example, switching to renewable energy will save XX MT of emissions per year. Information on the extent to which measures will be applied (e.g. if switching to EVs, what share of the fleet; if installing an own solar PV installation, what is the installed capacity) Schedule for regular review of measures. Is there a plan for regular review and updating?"</t>
  </si>
  <si>
    <t>UPDATED EGR2023</t>
  </si>
  <si>
    <t>2024CDebtPaper</t>
  </si>
  <si>
    <t>weak</t>
  </si>
  <si>
    <t>BHR</t>
  </si>
  <si>
    <t>Bahrain</t>
  </si>
  <si>
    <t>stronger</t>
  </si>
  <si>
    <t>GHA</t>
  </si>
  <si>
    <t>Ghana</t>
  </si>
  <si>
    <t>KWT</t>
  </si>
  <si>
    <t>Kuwait</t>
  </si>
  <si>
    <t>Laos</t>
  </si>
  <si>
    <t>LAO</t>
  </si>
  <si>
    <t>NAM</t>
  </si>
  <si>
    <t>Namibia</t>
  </si>
  <si>
    <t>OMN</t>
  </si>
  <si>
    <t>Oman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</si>
</sst>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32" x14ac:knownFonts="1">
    <font>
      <sz val="10"/>
      <color rgb="FF000000"/>
      <name val="Arial"/>
      <scheme val="minor"/>
    </font>
    <font>
      <b/>
      <sz val="8"/>
      <color rgb="FF000000"/>
      <name val="Arial"/>
      <family val="2"/>
    </font>
    <font>
      <sz val="8"/>
      <color rgb="FF000000"/>
      <name val="Arial"/>
      <family val="2"/>
    </font>
    <font>
      <sz val="8"/>
      <color theme="1"/>
      <name val="Arial"/>
      <family val="2"/>
    </font>
    <font>
      <b/>
      <sz val="8"/>
      <color rgb="FFFF0000"/>
      <name val="Arial"/>
      <family val="2"/>
    </font>
    <font>
      <strike/>
      <sz val="8"/>
      <color rgb="FFFF0000"/>
      <name val="Arial"/>
      <family val="2"/>
    </font>
    <font>
      <u/>
      <sz val="8"/>
      <color rgb="FF000000"/>
      <name val="Arial"/>
      <family val="2"/>
    </font>
    <font>
      <u/>
      <sz val="8"/>
      <color rgb="FF000000"/>
      <name val="Arial"/>
      <family val="2"/>
    </font>
    <font>
      <u/>
      <sz val="8"/>
      <color rgb="FF0000FF"/>
      <name val="Arial"/>
      <family val="2"/>
    </font>
    <font>
      <u/>
      <sz val="8"/>
      <color rgb="FF000000"/>
      <name val="Arial"/>
      <family val="2"/>
    </font>
    <font>
      <u/>
      <sz val="8"/>
      <color rgb="FF0000FF"/>
      <name val="Arial"/>
      <family val="2"/>
    </font>
    <font>
      <sz val="8"/>
      <color rgb="FF6AA84F"/>
      <name val="Arial"/>
      <family val="2"/>
    </font>
    <font>
      <u/>
      <sz val="8"/>
      <color rgb="FF000000"/>
      <name val="Arial"/>
      <family val="2"/>
    </font>
    <font>
      <sz val="8"/>
      <color rgb="FF93C47D"/>
      <name val="Arial"/>
      <family val="2"/>
    </font>
    <font>
      <u/>
      <sz val="8"/>
      <color rgb="FF0000FF"/>
      <name val="Arial"/>
      <family val="2"/>
    </font>
    <font>
      <sz val="11"/>
      <color rgb="FF000000"/>
      <name val="Calibri"/>
      <family val="2"/>
    </font>
    <font>
      <b/>
      <sz val="11"/>
      <color rgb="FF000000"/>
      <name val="Calibri"/>
      <family val="2"/>
    </font>
    <font>
      <sz val="11"/>
      <color rgb="FFFF0000"/>
      <name val="Calibri"/>
      <family val="2"/>
    </font>
    <font>
      <b/>
      <sz val="11"/>
      <color theme="1"/>
      <name val="Calibri"/>
      <family val="2"/>
    </font>
    <font>
      <sz val="11"/>
      <color theme="1"/>
      <name val="Calibri"/>
      <family val="2"/>
    </font>
    <font>
      <b/>
      <u/>
      <sz val="12"/>
      <color rgb="FF0000FF"/>
      <name val="Calibri"/>
      <family val="2"/>
    </font>
    <font>
      <b/>
      <u/>
      <sz val="11"/>
      <color rgb="FF4F8EB5"/>
      <name val="Calibri"/>
      <family val="2"/>
    </font>
    <font>
      <b/>
      <sz val="11"/>
      <color rgb="FFFFFFFF"/>
      <name val="Calibri"/>
      <family val="2"/>
    </font>
    <font>
      <sz val="10"/>
      <color rgb="FF000000"/>
      <name val="Roboto"/>
    </font>
    <font>
      <sz val="10"/>
      <color theme="1"/>
      <name val="Arial"/>
      <family val="2"/>
      <scheme val="minor"/>
    </font>
    <font>
      <sz val="11"/>
      <color rgb="FFFFFFFF"/>
      <name val="Calibri"/>
      <family val="2"/>
    </font>
    <font>
      <sz val="11"/>
      <color rgb="FF666F71"/>
      <name val="Calibri"/>
      <family val="2"/>
    </font>
    <font>
      <b/>
      <sz val="8"/>
      <color rgb="FF000000"/>
      <name val="Arial"/>
      <family val="2"/>
    </font>
    <font>
      <sz val="10"/>
      <color rgb="FF000000"/>
      <name val="Arial"/>
      <family val="2"/>
      <scheme val="minor"/>
    </font>
    <font>
      <sz val="11"/>
      <name val="Calibri"/>
      <family val="2"/>
    </font>
    <font>
      <b/>
      <sz val="10"/>
      <color rgb="FF000000"/>
      <name val="Calibri"/>
      <family val="2"/>
    </font>
    <font>
      <sz val="11"/>
      <color theme="5"/>
      <name val="Calibri"/>
      <family val="2"/>
    </font>
  </fonts>
  <fills count="36">
    <fill>
      <patternFill patternType="none"/>
    </fill>
    <fill>
      <patternFill patternType="gray125"/>
    </fill>
    <fill>
      <patternFill patternType="solid">
        <fgColor rgb="FFED7D31"/>
        <bgColor rgb="FFED7D31"/>
      </patternFill>
    </fill>
    <fill>
      <patternFill patternType="solid">
        <fgColor rgb="FFFFD966"/>
        <bgColor rgb="FFFFD966"/>
      </patternFill>
    </fill>
    <fill>
      <patternFill patternType="solid">
        <fgColor rgb="FFF4CCCC"/>
        <bgColor rgb="FFF4CCCC"/>
      </patternFill>
    </fill>
    <fill>
      <patternFill patternType="solid">
        <fgColor rgb="FFFFFFFF"/>
        <bgColor rgb="FFFFFFFF"/>
      </patternFill>
    </fill>
    <fill>
      <patternFill patternType="solid">
        <fgColor rgb="FFF4B084"/>
        <bgColor rgb="FFF4B084"/>
      </patternFill>
    </fill>
    <fill>
      <patternFill patternType="solid">
        <fgColor rgb="FFBDD7EE"/>
        <bgColor rgb="FFBDD7EE"/>
      </patternFill>
    </fill>
    <fill>
      <patternFill patternType="solid">
        <fgColor rgb="FFFFF2CC"/>
        <bgColor rgb="FFFFF2CC"/>
      </patternFill>
    </fill>
    <fill>
      <patternFill patternType="solid">
        <fgColor rgb="FFD9EAD3"/>
        <bgColor rgb="FFD9EAD3"/>
      </patternFill>
    </fill>
    <fill>
      <patternFill patternType="solid">
        <fgColor rgb="FFA4C2F4"/>
        <bgColor rgb="FFA4C2F4"/>
      </patternFill>
    </fill>
    <fill>
      <patternFill patternType="solid">
        <fgColor theme="0"/>
        <bgColor theme="0"/>
      </patternFill>
    </fill>
    <fill>
      <patternFill patternType="solid">
        <fgColor rgb="FFFFFF00"/>
        <bgColor rgb="FFFFFF00"/>
      </patternFill>
    </fill>
    <fill>
      <patternFill patternType="solid">
        <fgColor rgb="FFFF00FF"/>
        <bgColor rgb="FFFF00FF"/>
      </patternFill>
    </fill>
    <fill>
      <patternFill patternType="solid">
        <fgColor rgb="FFFBDCCE"/>
        <bgColor rgb="FFFBDCCE"/>
      </patternFill>
    </fill>
    <fill>
      <patternFill patternType="solid">
        <fgColor rgb="FF00B0F0"/>
        <bgColor rgb="FF00B0F0"/>
      </patternFill>
    </fill>
    <fill>
      <patternFill patternType="solid">
        <fgColor rgb="FFA9D08E"/>
        <bgColor rgb="FFA9D08E"/>
      </patternFill>
    </fill>
    <fill>
      <patternFill patternType="solid">
        <fgColor rgb="FFFFC000"/>
        <bgColor rgb="FFFFC000"/>
      </patternFill>
    </fill>
    <fill>
      <patternFill patternType="solid">
        <fgColor theme="9"/>
        <bgColor theme="9"/>
      </patternFill>
    </fill>
    <fill>
      <patternFill patternType="solid">
        <fgColor rgb="FF00FFFF"/>
        <bgColor rgb="FF00FFFF"/>
      </patternFill>
    </fill>
    <fill>
      <patternFill patternType="solid">
        <fgColor rgb="FF4F8EB5"/>
        <bgColor rgb="FF4F8EB5"/>
      </patternFill>
    </fill>
    <fill>
      <patternFill patternType="solid">
        <fgColor rgb="FFB1CC68"/>
        <bgColor rgb="FFB1CC68"/>
      </patternFill>
    </fill>
    <fill>
      <patternFill patternType="solid">
        <fgColor rgb="FFF06949"/>
        <bgColor rgb="FFF06949"/>
      </patternFill>
    </fill>
    <fill>
      <patternFill patternType="solid">
        <fgColor rgb="FFF2E563"/>
        <bgColor rgb="FFF2E563"/>
      </patternFill>
    </fill>
    <fill>
      <patternFill patternType="solid">
        <fgColor rgb="FFD5D7D8"/>
        <bgColor rgb="FFD5D7D8"/>
      </patternFill>
    </fill>
    <fill>
      <patternFill patternType="solid">
        <fgColor rgb="FFF3AC48"/>
        <bgColor rgb="FFF3AC48"/>
      </patternFill>
    </fill>
    <fill>
      <patternFill patternType="solid">
        <fgColor rgb="FFEEEFEF"/>
        <bgColor rgb="FFEEEFEF"/>
      </patternFill>
    </fill>
    <fill>
      <patternFill patternType="solid">
        <fgColor theme="8" tint="0.39997558519241921"/>
        <bgColor indexed="64"/>
      </patternFill>
    </fill>
    <fill>
      <patternFill patternType="solid">
        <fgColor theme="2" tint="-4.9989318521683403E-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7030A0"/>
        <bgColor indexed="64"/>
      </patternFill>
    </fill>
    <fill>
      <patternFill patternType="solid">
        <fgColor rgb="FF7030A0"/>
        <bgColor rgb="FFED7D31"/>
      </patternFill>
    </fill>
    <fill>
      <patternFill patternType="solid">
        <fgColor rgb="FF7030A0"/>
        <bgColor rgb="FFA4C2F4"/>
      </patternFill>
    </fill>
    <fill>
      <patternFill patternType="solid">
        <fgColor rgb="FF7030A0"/>
        <bgColor rgb="FFBDD7EE"/>
      </patternFill>
    </fill>
    <fill>
      <patternFill patternType="solid">
        <fgColor rgb="FF7030A0"/>
        <bgColor rgb="FFFFF2CC"/>
      </patternFill>
    </fill>
  </fills>
  <borders count="1">
    <border>
      <left/>
      <right/>
      <top/>
      <bottom/>
      <diagonal/>
    </border>
  </borders>
  <cellStyleXfs count="1">
    <xf numFmtId="0" fontId="0" fillId="0" borderId="0"/>
  </cellStyleXfs>
  <cellXfs count="112">
    <xf numFmtId="0" fontId="0" fillId="0" borderId="0" xfId="0"/>
    <xf numFmtId="0" fontId="1" fillId="0" borderId="0" xfId="0" applyFont="1"/>
    <xf numFmtId="0" fontId="2" fillId="0" borderId="0" xfId="0" applyFont="1"/>
    <xf numFmtId="0" fontId="2" fillId="3" borderId="0" xfId="0" applyFont="1" applyFill="1"/>
    <xf numFmtId="0" fontId="3" fillId="0" borderId="0" xfId="0" applyFont="1"/>
    <xf numFmtId="0" fontId="4" fillId="0" borderId="0" xfId="0" applyFont="1"/>
    <xf numFmtId="0" fontId="2" fillId="4" borderId="0" xfId="0" applyFont="1" applyFill="1"/>
    <xf numFmtId="0" fontId="2" fillId="5" borderId="0" xfId="0" applyFont="1" applyFill="1"/>
    <xf numFmtId="9" fontId="2" fillId="0" borderId="0" xfId="0" applyNumberFormat="1" applyFont="1"/>
    <xf numFmtId="0" fontId="5" fillId="4" borderId="0" xfId="0" applyFont="1" applyFill="1"/>
    <xf numFmtId="0" fontId="2" fillId="6" borderId="0" xfId="0" applyFont="1" applyFill="1" applyAlignment="1">
      <alignment horizontal="right"/>
    </xf>
    <xf numFmtId="0" fontId="2" fillId="2" borderId="0" xfId="0" applyFont="1" applyFill="1" applyAlignment="1">
      <alignment horizontal="right"/>
    </xf>
    <xf numFmtId="0" fontId="3" fillId="0" borderId="0" xfId="0" applyFont="1" applyAlignment="1">
      <alignment horizontal="right"/>
    </xf>
    <xf numFmtId="0" fontId="2" fillId="0" borderId="0" xfId="0" applyFont="1" applyAlignment="1">
      <alignment horizontal="right"/>
    </xf>
    <xf numFmtId="10" fontId="2" fillId="0" borderId="0" xfId="0" applyNumberFormat="1" applyFont="1" applyAlignment="1">
      <alignment horizontal="right"/>
    </xf>
    <xf numFmtId="0" fontId="2" fillId="7" borderId="0" xfId="0" applyFont="1" applyFill="1"/>
    <xf numFmtId="0" fontId="2" fillId="8" borderId="0" xfId="0" applyFont="1" applyFill="1"/>
    <xf numFmtId="0" fontId="3" fillId="9" borderId="0" xfId="0" applyFont="1" applyFill="1"/>
    <xf numFmtId="0" fontId="2" fillId="10" borderId="0" xfId="0" applyFont="1" applyFill="1"/>
    <xf numFmtId="0" fontId="3" fillId="11" borderId="0" xfId="0" applyFont="1" applyFill="1"/>
    <xf numFmtId="0" fontId="3" fillId="12" borderId="0" xfId="0" applyFont="1" applyFill="1"/>
    <xf numFmtId="0" fontId="2" fillId="13" borderId="0" xfId="0" applyFont="1" applyFill="1"/>
    <xf numFmtId="4" fontId="2" fillId="0" borderId="0" xfId="0" applyNumberFormat="1" applyFont="1" applyAlignment="1">
      <alignment horizontal="right"/>
    </xf>
    <xf numFmtId="0" fontId="3" fillId="14" borderId="0" xfId="0" applyFont="1" applyFill="1" applyAlignment="1">
      <alignment horizontal="right"/>
    </xf>
    <xf numFmtId="0" fontId="1" fillId="8" borderId="0" xfId="0" applyFont="1" applyFill="1"/>
    <xf numFmtId="0" fontId="6" fillId="0" borderId="0" xfId="0" applyFont="1"/>
    <xf numFmtId="0" fontId="3" fillId="15" borderId="0" xfId="0" applyFont="1" applyFill="1" applyAlignment="1">
      <alignment horizontal="right"/>
    </xf>
    <xf numFmtId="0" fontId="2" fillId="15" borderId="0" xfId="0" applyFont="1" applyFill="1" applyAlignment="1">
      <alignment horizontal="right"/>
    </xf>
    <xf numFmtId="0" fontId="7" fillId="11" borderId="0" xfId="0" applyFont="1" applyFill="1"/>
    <xf numFmtId="0" fontId="3" fillId="16" borderId="0" xfId="0" applyFont="1" applyFill="1" applyAlignment="1">
      <alignment horizontal="right"/>
    </xf>
    <xf numFmtId="0" fontId="2" fillId="16" borderId="0" xfId="0" applyFont="1" applyFill="1" applyAlignment="1">
      <alignment horizontal="right"/>
    </xf>
    <xf numFmtId="0" fontId="8" fillId="11" borderId="0" xfId="0" applyFont="1" applyFill="1"/>
    <xf numFmtId="0" fontId="2" fillId="17" borderId="0" xfId="0" applyFont="1" applyFill="1" applyAlignment="1">
      <alignment horizontal="right"/>
    </xf>
    <xf numFmtId="0" fontId="9" fillId="11" borderId="0" xfId="0" applyFont="1" applyFill="1"/>
    <xf numFmtId="0" fontId="10" fillId="11" borderId="0" xfId="0" applyFont="1" applyFill="1"/>
    <xf numFmtId="0" fontId="2" fillId="12" borderId="0" xfId="0" applyFont="1" applyFill="1" applyAlignment="1">
      <alignment horizontal="right"/>
    </xf>
    <xf numFmtId="0" fontId="11" fillId="0" borderId="0" xfId="0" applyFont="1"/>
    <xf numFmtId="0" fontId="3" fillId="18" borderId="0" xfId="0" applyFont="1" applyFill="1" applyAlignment="1">
      <alignment horizontal="right"/>
    </xf>
    <xf numFmtId="0" fontId="4" fillId="8" borderId="0" xfId="0" applyFont="1" applyFill="1"/>
    <xf numFmtId="0" fontId="3" fillId="19" borderId="0" xfId="0" applyFont="1" applyFill="1"/>
    <xf numFmtId="0" fontId="12" fillId="5" borderId="0" xfId="0" applyFont="1" applyFill="1"/>
    <xf numFmtId="0" fontId="13" fillId="0" borderId="0" xfId="0" applyFont="1"/>
    <xf numFmtId="0" fontId="14" fillId="11" borderId="0" xfId="0" applyFont="1" applyFill="1"/>
    <xf numFmtId="0" fontId="3" fillId="4" borderId="0" xfId="0" applyFont="1" applyFill="1"/>
    <xf numFmtId="0" fontId="3" fillId="18" borderId="0" xfId="0" applyFont="1" applyFill="1"/>
    <xf numFmtId="0" fontId="15" fillId="5" borderId="0" xfId="0" applyFont="1" applyFill="1"/>
    <xf numFmtId="0" fontId="15" fillId="0" borderId="0" xfId="0" applyFont="1" applyAlignment="1">
      <alignment horizontal="left"/>
    </xf>
    <xf numFmtId="0" fontId="16" fillId="5" borderId="0" xfId="0" applyFont="1" applyFill="1"/>
    <xf numFmtId="0" fontId="15" fillId="5" borderId="0" xfId="0" applyFont="1" applyFill="1" applyAlignment="1">
      <alignment horizontal="left"/>
    </xf>
    <xf numFmtId="0" fontId="17" fillId="0" borderId="0" xfId="0" applyFont="1"/>
    <xf numFmtId="0" fontId="18" fillId="5" borderId="0" xfId="0" applyFont="1" applyFill="1"/>
    <xf numFmtId="164" fontId="19" fillId="5" borderId="0" xfId="0" applyNumberFormat="1" applyFont="1" applyFill="1" applyAlignment="1">
      <alignment horizontal="left"/>
    </xf>
    <xf numFmtId="0" fontId="19" fillId="5" borderId="0" xfId="0" applyFont="1" applyFill="1" applyAlignment="1">
      <alignment horizontal="left"/>
    </xf>
    <xf numFmtId="0" fontId="19" fillId="5" borderId="0" xfId="0" applyFont="1" applyFill="1"/>
    <xf numFmtId="0" fontId="17" fillId="5" borderId="0" xfId="0" applyFont="1" applyFill="1"/>
    <xf numFmtId="0" fontId="20" fillId="5" borderId="0" xfId="0" applyFont="1" applyFill="1"/>
    <xf numFmtId="0" fontId="21" fillId="5" borderId="0" xfId="0" applyFont="1" applyFill="1"/>
    <xf numFmtId="0" fontId="16" fillId="5" borderId="0" xfId="0" applyFont="1" applyFill="1" applyAlignment="1">
      <alignment horizontal="left"/>
    </xf>
    <xf numFmtId="0" fontId="22" fillId="20" borderId="0" xfId="0" applyFont="1" applyFill="1" applyAlignment="1">
      <alignment horizontal="left" vertical="top"/>
    </xf>
    <xf numFmtId="0" fontId="23" fillId="5" borderId="0" xfId="0" applyFont="1" applyFill="1"/>
    <xf numFmtId="0" fontId="24" fillId="0" borderId="0" xfId="0" applyFont="1"/>
    <xf numFmtId="0" fontId="16" fillId="5" borderId="0" xfId="0" applyFont="1" applyFill="1" applyAlignment="1">
      <alignment horizontal="left" vertical="top"/>
    </xf>
    <xf numFmtId="0" fontId="15" fillId="5" borderId="0" xfId="0" applyFont="1" applyFill="1" applyAlignment="1">
      <alignment horizontal="left" vertical="top"/>
    </xf>
    <xf numFmtId="0" fontId="25" fillId="21" borderId="0" xfId="0" applyFont="1" applyFill="1" applyAlignment="1">
      <alignment horizontal="left" vertical="top"/>
    </xf>
    <xf numFmtId="0" fontId="25" fillId="22" borderId="0" xfId="0" applyFont="1" applyFill="1" applyAlignment="1">
      <alignment horizontal="left" vertical="top"/>
    </xf>
    <xf numFmtId="0" fontId="26" fillId="23" borderId="0" xfId="0" applyFont="1" applyFill="1" applyAlignment="1">
      <alignment horizontal="left" vertical="top"/>
    </xf>
    <xf numFmtId="0" fontId="26" fillId="24" borderId="0" xfId="0" applyFont="1" applyFill="1" applyAlignment="1">
      <alignment horizontal="left" vertical="top"/>
    </xf>
    <xf numFmtId="0" fontId="25" fillId="25" borderId="0" xfId="0" applyFont="1" applyFill="1" applyAlignment="1">
      <alignment horizontal="left" vertical="top"/>
    </xf>
    <xf numFmtId="0" fontId="26" fillId="26" borderId="0" xfId="0" applyFont="1" applyFill="1" applyAlignment="1">
      <alignment horizontal="left" vertical="top"/>
    </xf>
    <xf numFmtId="0" fontId="26" fillId="5" borderId="0" xfId="0" applyFont="1" applyFill="1" applyAlignment="1">
      <alignment horizontal="left" vertical="top"/>
    </xf>
    <xf numFmtId="0" fontId="25" fillId="5" borderId="0" xfId="0" applyFont="1" applyFill="1" applyAlignment="1">
      <alignment horizontal="left" vertical="top"/>
    </xf>
    <xf numFmtId="0" fontId="15" fillId="0" borderId="0" xfId="0" applyFont="1"/>
    <xf numFmtId="0" fontId="2" fillId="27" borderId="0" xfId="0" applyFont="1" applyFill="1"/>
    <xf numFmtId="0" fontId="27" fillId="27" borderId="0" xfId="0" applyFont="1" applyFill="1"/>
    <xf numFmtId="0" fontId="28" fillId="0" borderId="0" xfId="0" applyFont="1"/>
    <xf numFmtId="0" fontId="16" fillId="0" borderId="0" xfId="0" applyFont="1"/>
    <xf numFmtId="0" fontId="15" fillId="0" borderId="0" xfId="0" applyFont="1" applyAlignment="1">
      <alignment horizontal="right"/>
    </xf>
    <xf numFmtId="0" fontId="29" fillId="0" borderId="0" xfId="0" applyFont="1"/>
    <xf numFmtId="0" fontId="19" fillId="0" borderId="0" xfId="0" applyFont="1"/>
    <xf numFmtId="0" fontId="16" fillId="29" borderId="0" xfId="0" applyFont="1" applyFill="1"/>
    <xf numFmtId="0" fontId="15" fillId="29" borderId="0" xfId="0" applyFont="1" applyFill="1"/>
    <xf numFmtId="0" fontId="15" fillId="30" borderId="0" xfId="0" applyFont="1" applyFill="1"/>
    <xf numFmtId="0" fontId="15" fillId="30" borderId="0" xfId="0" applyFont="1" applyFill="1" applyAlignment="1">
      <alignment horizontal="right"/>
    </xf>
    <xf numFmtId="0" fontId="31" fillId="0" borderId="0" xfId="0" applyFont="1"/>
    <xf numFmtId="0" fontId="0" fillId="0" borderId="0" xfId="0"/>
    <xf numFmtId="0" fontId="2" fillId="0" borderId="0" xfId="0" applyFont="1"/>
    <xf numFmtId="0" fontId="0" fillId="0" borderId="0" xfId="0" applyAlignment="1">
      <alignment horizontal="center"/>
    </xf>
    <xf numFmtId="9" fontId="1" fillId="0" borderId="0" xfId="0" applyNumberFormat="1" applyFont="1"/>
    <xf numFmtId="0" fontId="1" fillId="27" borderId="0" xfId="0" applyFont="1" applyFill="1"/>
    <xf numFmtId="0" fontId="2" fillId="0" borderId="0" xfId="0" applyFont="1"/>
    <xf numFmtId="0" fontId="2" fillId="0" borderId="0" xfId="0" applyFont="1"/>
    <xf numFmtId="0" fontId="0" fillId="0" borderId="0" xfId="0"/>
    <xf numFmtId="0" fontId="0" fillId="0" borderId="0" xfId="0"/>
    <xf numFmtId="0" fontId="2" fillId="0" borderId="0" xfId="0" applyFont="1"/>
    <xf numFmtId="0" fontId="0" fillId="0" borderId="0" xfId="0"/>
    <xf numFmtId="0" fontId="2" fillId="0" borderId="0" xfId="0" applyFont="1"/>
    <xf numFmtId="0" fontId="2" fillId="2" borderId="0" xfId="0" applyFont="1" applyFill="1"/>
    <xf numFmtId="0" fontId="0" fillId="0" borderId="0" xfId="0"/>
    <xf numFmtId="0" fontId="2" fillId="0" borderId="0" xfId="0" applyFont="1"/>
    <xf numFmtId="0" fontId="18" fillId="5" borderId="0" xfId="0" applyFont="1" applyFill="1" applyAlignment="1">
      <alignment horizontal="left"/>
    </xf>
    <xf numFmtId="0" fontId="30" fillId="28" borderId="0" xfId="0" applyFont="1" applyFill="1" applyAlignment="1">
      <alignment horizontal="center"/>
    </xf>
    <xf numFmtId="0" fontId="3" fillId="31" borderId="0" xfId="0" applyFont="1" applyFill="1"/>
    <xf numFmtId="1" fontId="2" fillId="32" borderId="0" xfId="0" applyNumberFormat="1" applyFont="1" applyFill="1" applyAlignment="1">
      <alignment horizontal="right"/>
    </xf>
    <xf numFmtId="1" fontId="2" fillId="31" borderId="0" xfId="0" applyNumberFormat="1" applyFont="1" applyFill="1"/>
    <xf numFmtId="0" fontId="2" fillId="31" borderId="0" xfId="0" applyFont="1" applyFill="1"/>
    <xf numFmtId="0" fontId="2" fillId="31" borderId="0" xfId="0" applyFont="1" applyFill="1" applyAlignment="1">
      <alignment horizontal="right"/>
    </xf>
    <xf numFmtId="0" fontId="2" fillId="33" borderId="0" xfId="0" applyFont="1" applyFill="1"/>
    <xf numFmtId="0" fontId="2" fillId="34" borderId="0" xfId="0" applyFont="1" applyFill="1"/>
    <xf numFmtId="0" fontId="2" fillId="35" borderId="0" xfId="0" applyFont="1" applyFill="1"/>
    <xf numFmtId="0" fontId="0" fillId="31" borderId="0" xfId="0" applyFill="1"/>
    <xf numFmtId="0" fontId="15" fillId="31" borderId="0" xfId="0" applyFont="1" applyFill="1" applyAlignment="1">
      <alignment horizontal="right"/>
    </xf>
    <xf numFmtId="0" fontId="15" fillId="31"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Clea Schumer" id="{4683B7C8-7CAB-4CAD-84A7-603460C94CE9}" userId="S::Clea.Schumer@wri.org::92c5ad77-7112-46b2-a2be-8b2aeb7f5622"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4" dT="2023-09-14T17:41:27.52" personId="{4683B7C8-7CAB-4CAD-84A7-603460C94CE9}" id="{EAA1713B-B43A-4454-8FFA-D68A15A15B85}">
    <text xml:space="preserve">Changed from UNCLEAR to GHG per Chapter 3 analysis </text>
  </threadedComment>
  <threadedComment ref="N4" dT="2023-09-15T20:33:01.40" personId="{4683B7C8-7CAB-4CAD-84A7-603460C94CE9}" id="{7D024AB9-B7EE-4D0C-A841-5409671F53EB}">
    <text>Argentina does have an LTS, so I would suggest deferring to CAT coding here rather than NZT and classifying as "Weaker"</text>
  </threadedComment>
  <threadedComment ref="N5" dT="2023-09-14T18:44:28.55" personId="{4683B7C8-7CAB-4CAD-84A7-603460C94CE9}" id="{5A56A61E-CEF2-403C-B11C-77C1AC8D052E}">
    <text xml:space="preserve">Our Science paper coded Australia as “weaker,” but the group this summer opted to consider this plan credible for Chapter 3. So, would suggest coding as “Credible.”
</text>
  </threadedComment>
  <threadedComment ref="N8" dT="2023-09-14T18:51:05.48" personId="{4683B7C8-7CAB-4CAD-84A7-603460C94CE9}" id="{BDEDB3D8-01EC-4102-BD4F-CD34DD6542BB}">
    <text xml:space="preserve">Our Science paper coded Canada as "credible,” but the two data sources seem to reach consensus on incompleteness. Suggest changing to weaker
</text>
  </threadedComment>
  <threadedComment ref="K10" dT="2023-09-14T17:42:27.11" personId="{4683B7C8-7CAB-4CAD-84A7-603460C94CE9}" id="{9974E02A-4B97-48BA-8F98-92CCBB09D161}">
    <text>Changed from UNCLEAR to CO2 per Chapter 3 analysis - this might have real impact on model output?</text>
  </threadedComment>
  <threadedComment ref="N10" dT="2023-09-14T18:52:38.24" personId="{4683B7C8-7CAB-4CAD-84A7-603460C94CE9}" id="{5757FAF1-8289-4E37-99D6-26819C1DBA78}">
    <text>Our Science paper coded China as "credible,” but the two data sources seem to reach consensus on incompleteness. Suggest changing to weaker</text>
  </threadedComment>
  <threadedComment ref="N11" dT="2023-09-15T20:34:11.99" personId="{4683B7C8-7CAB-4CAD-84A7-603460C94CE9}" id="{A377BDC8-4A47-4481-B1C7-93B0964CBE3F}">
    <text>Defer to CAT</text>
  </threadedComment>
  <threadedComment ref="N13" dT="2023-09-14T18:53:38.62" personId="{4683B7C8-7CAB-4CAD-84A7-603460C94CE9}" id="{86413653-0E27-4618-B46D-1DB9288A840F}">
    <text xml:space="preserve">Our Science paper coded India as “none” but the group this summer opted to consider this plan credible, with Sarah from CAT noting that “India has submitted an LTS. In the LTS, India outlines sector-specific action areas, targeting the power, industry, transport, building, and urban sectors. Yet the LTS does not provide sufficiently clear policy guidance on how the government intends to achieve net zero beyond its current policies and programmes. Would accordingly suggest changing to “Weaker.”
</text>
  </threadedComment>
  <threadedComment ref="K14" dT="2023-09-14T17:44:04.09" personId="{4683B7C8-7CAB-4CAD-84A7-603460C94CE9}" id="{8329FF33-2E50-4CCF-939F-8A1137867743}">
    <text>Technically, Indonesia only mentions coverage of CO2, CH4, and N2O and not all GHGs… but it's just not CO2 either, so hesitant to bump down to just CO2. I think we should leave as is, which is UNCLEAR</text>
  </threadedComment>
  <threadedComment ref="N14" dT="2023-09-14T18:54:23.65" personId="{4683B7C8-7CAB-4CAD-84A7-603460C94CE9}" id="{E1561ACF-1BCE-4442-94C0-9D5DCF963E1A}">
    <text xml:space="preserve">Our Science paper coded Indonesia as “none,” but Chapter 3 notes the credibility of the plan as “inconclusive” – suggest changing to “Weaker” to acknowledge that there is indeed a plan, albeit one the Chapter 3 group does not view as particularly strong. 
</text>
  </threadedComment>
  <threadedComment ref="N15" dT="2023-09-14T18:55:12.82" personId="{4683B7C8-7CAB-4CAD-84A7-603460C94CE9}" id="{8168B5F3-93BF-45FB-8A10-F65CD411E004}">
    <text xml:space="preserve">The Science paper coded Japan as "credible," where Chapter 3 viewed the credibility of the plan as "inconclusive.” Frederic from CAT wrote this summer: “While Japan’s net zero target and measures have been developed and described in its Green Growth Strategy as well as Long Term Strategy, its pathway to net-zero particularly after 2030 towards 2050 remains unclear. The absolute reductions as well as removal targets in 2050 are not clearly communicated." Suggest changing to “Weaker” to acknowledge that there is indeed a plan, albeit one the Chapter 3 group does not view as particularly strong. 
</text>
  </threadedComment>
  <threadedComment ref="K17" dT="2023-09-14T17:46:47.93" personId="{4683B7C8-7CAB-4CAD-84A7-603460C94CE9}" id="{EED9C2C8-8559-4436-BE05-65AE068AFB45}">
    <text>Changed from GHG to UNCLEAR per Chapter 3 analysis</text>
  </threadedComment>
  <threadedComment ref="N17" dT="2023-09-14T18:56:06.58" personId="{4683B7C8-7CAB-4CAD-84A7-603460C94CE9}" id="{2A800574-4B38-4160-B036-42E0975EB9A5}">
    <text>Per consensus from Chapter 3 group</text>
  </threadedComment>
  <threadedComment ref="K20" dT="2023-09-14T17:44:45.27" personId="{4683B7C8-7CAB-4CAD-84A7-603460C94CE9}" id="{DF5E2B31-A894-472E-82FB-67DA78FCF2BB}">
    <text>Changed from UNCLEAR to GHG per Chapter 3 analysis</text>
  </threadedComment>
  <threadedComment ref="N20" dT="2023-09-14T18:57:04.30" personId="{4683B7C8-7CAB-4CAD-84A7-603460C94CE9}" id="{6F87BB69-6E50-4745-BE0A-83705B973A08}">
    <text xml:space="preserve">Per consensus across CAT and NZT on incompleteness </text>
  </threadedComment>
  <threadedComment ref="N23" dT="2023-09-14T18:58:08.51" personId="{4683B7C8-7CAB-4CAD-84A7-603460C94CE9}" id="{390B12CA-94D1-42A6-9348-4FD78EF3CB60}">
    <text xml:space="preserve">Per consensus from CAT and NZT on incompleteness </text>
  </threadedComment>
  <threadedComment ref="N24" dT="2023-09-14T18:58:43.78" personId="{4683B7C8-7CAB-4CAD-84A7-603460C94CE9}" id="{C6BD467A-D460-493F-B071-9B2670348323}">
    <text>Per consensus from Chapter 3 group</text>
  </threadedComment>
  <threadedComment ref="N25" dT="2023-09-14T18:58:47.74" personId="{4683B7C8-7CAB-4CAD-84A7-603460C94CE9}" id="{57EF3C17-E4B5-4F3D-97C7-C5090845F0DE}">
    <text>Per consensus from Chapter 3 group</text>
  </threadedComment>
  <threadedComment ref="N26" dT="2023-09-14T18:59:20.58" personId="{4683B7C8-7CAB-4CAD-84A7-603460C94CE9}" id="{09AC7A23-8B92-48DC-B86D-188517F00994}">
    <text>Per NZT analysis</text>
  </threadedComment>
  <threadedComment ref="I28" dT="2023-09-14T17:21:11.09" personId="{4683B7C8-7CAB-4CAD-84A7-603460C94CE9}" id="{B033B675-2C9D-4A0D-8E71-4D51797E3B2A}">
    <text xml:space="preserve">We are classifying this year as "Other" in chapter 3 because their law actually provides a range of 2050-2070. 2060 may still be the most reasonable data point to incorporate into this model. </text>
  </threadedComment>
  <threadedComment ref="N28" dT="2023-09-14T18:59:35.19" personId="{4683B7C8-7CAB-4CAD-84A7-603460C94CE9}" id="{AFA9BCB3-7FAC-4AC8-BDED-43A1F6DD81E1}">
    <text xml:space="preserve">Per consensus across CAT and NZT on incompleteness </text>
  </threadedComment>
  <threadedComment ref="I31" dT="2023-09-14T17:22:54.43" personId="{4683B7C8-7CAB-4CAD-84A7-603460C94CE9}" id="{C63E9690-E454-4DE3-96E9-2CD337132DCD}">
    <text xml:space="preserve">Thailand has committed to net-zero CO2 by 2050 (as indicated here), but also to net-zero GHGs by 2065. I defer to lead authors on which target to include here, noting that I'm sure the temperature impact will be minute. </text>
  </threadedComment>
  <threadedComment ref="N31" dT="2023-09-14T19:00:22.23" personId="{4683B7C8-7CAB-4CAD-84A7-603460C94CE9}" id="{6A5EA20A-BA38-45B0-9EFF-E6747FE81200}">
    <text>CAT says comprehensive, NZT says no plan - I know for a fact they do have an LTS plan, so probably we should meet in the middle at weaker?</text>
  </threadedComment>
  <threadedComment ref="K32" dT="2023-09-14T17:24:28.88" personId="{4683B7C8-7CAB-4CAD-84A7-603460C94CE9}" id="{B379AC3C-88A8-452F-AD21-4A13B3944365}">
    <text>Updated from UNCLEAR to GHG per Chapter 3 analysis</text>
  </threadedComment>
  <threadedComment ref="N32" dT="2023-09-14T19:00:22.23" personId="{4683B7C8-7CAB-4CAD-84A7-603460C94CE9}" id="{B07EB35C-F180-462C-B042-10B546462ACC}">
    <text>CAT says comprehensive, NZT says no plan - I know for a fact they do have a plan via their LTS, so probably we should meet in the middle at weaker?</text>
  </threadedComment>
  <threadedComment ref="K33" dT="2023-09-14T17:25:33.47" personId="{4683B7C8-7CAB-4CAD-84A7-603460C94CE9}" id="{CB6FD007-063F-4B94-961F-35B35C587B56}">
    <text>Updated to UNCLEAR from CO2 per Chapter 3 analysis</text>
  </threadedComment>
  <threadedComment ref="N34" dT="2023-09-14T19:00:58.47" personId="{4683B7C8-7CAB-4CAD-84A7-603460C94CE9}" id="{B3A2CF62-0F4F-4475-9338-F1FEC9C7C45E}">
    <text>To indicate disagreement between two trackers? The Chapter 3 group didn't discuss in depth because we only examined G20 countries</text>
  </threadedComment>
  <threadedComment ref="N35" dT="2023-09-14T19:01:15.17" personId="{4683B7C8-7CAB-4CAD-84A7-603460C94CE9}" id="{5F731983-8EBF-4AFD-B282-4E141313FD22}">
    <text>To indicate disagreement between the two trackers? The Chapter 3 group didn't discuss in depth because we only examined G20 countries</text>
  </threadedComment>
  <threadedComment ref="N36" dT="2023-09-15T20:38:21.21" personId="{4683B7C8-7CAB-4CAD-84A7-603460C94CE9}" id="{6654538D-D54C-4BDC-886F-4AF430FE8AF8}">
    <text xml:space="preserve">Per consensus from both CAT and NZT on incompleteness </text>
  </threadedComment>
  <threadedComment ref="N37" dT="2023-09-14T19:01:57.90" personId="{4683B7C8-7CAB-4CAD-84A7-603460C94CE9}" id="{CF8DB261-D17E-4EE3-90BA-D5A7E061D03E}">
    <text>To indicate disagreement between the two trackers? The Chapter 3 group didn't discuss in depth because we only examined G20 countries</text>
  </threadedComment>
  <threadedComment ref="I39" dT="2023-09-14T17:30:50.93" personId="{4683B7C8-7CAB-4CAD-84A7-603460C94CE9}" id="{5EE08416-177F-4E3F-9697-829415124D92}">
    <text>New target from Ethiopia since Science analysis</text>
  </threadedComment>
  <threadedComment ref="N39" dT="2023-09-14T19:02:20.13" personId="{4683B7C8-7CAB-4CAD-84A7-603460C94CE9}" id="{2073B8CE-C5BC-40B4-A705-E4CB6317540D}">
    <text>I know they do have a plan, just recently launched, so let's mark it as weaker in keeping with NZT? (I assume CAT just hasn't updated their data yet)</text>
  </threadedComment>
  <threadedComment ref="K41" dT="2023-09-14T17:31:03.62" personId="{4683B7C8-7CAB-4CAD-84A7-603460C94CE9}" id="{C9121D43-790E-47CB-8C15-92F975B08961}">
    <text>Updated to UNCLEAR from GHG per Chapter 3 analysis</text>
  </threadedComment>
  <threadedComment ref="I42" dT="2023-09-14T17:31:53.23" personId="{4683B7C8-7CAB-4CAD-84A7-603460C94CE9}" id="{6E1C094A-B055-4DA0-BEA1-757D93574941}">
    <text>New target to add and make sure other sections are updated as needed too</text>
  </threadedComment>
  <threadedComment ref="N43" dT="2023-09-15T20:39:48.88" personId="{4683B7C8-7CAB-4CAD-84A7-603460C94CE9}" id="{A829E5FB-5503-4BC8-8FA9-CAC391FBF575}">
    <text xml:space="preserve">The Chapter 3 group didn't discuss in depth because we only examined G20 countries. I am inclined to mark this as credible rather than weaker, in deference to NZT's analysis in this case, because of their LTS. </text>
  </threadedComment>
  <threadedComment ref="N45" dT="2023-09-15T20:40:12.72" personId="{4683B7C8-7CAB-4CAD-84A7-603460C94CE9}" id="{5A6C34AB-D3C4-48F3-90B1-4880FCF938E3}">
    <text xml:space="preserve">Per consensus between CAT and NZT on incompleteness </text>
  </threadedComment>
  <threadedComment ref="N46" dT="2023-09-15T20:40:17.45" personId="{4683B7C8-7CAB-4CAD-84A7-603460C94CE9}" id="{90DDBA0E-8B74-4DD2-B8B8-DD040E40900A}">
    <text xml:space="preserve">Per consensus between CAT and NZT on incompleteness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newclimate.org/resources/publications/emissions-scenarios-for-major-economies-2022-update" TargetMode="External"/><Relationship Id="rId13" Type="http://schemas.openxmlformats.org/officeDocument/2006/relationships/hyperlink" Target="https://newclimate.org/resources/publications/emissions-scenarios-for-major-economies-2022-update" TargetMode="External"/><Relationship Id="rId18" Type="http://schemas.openxmlformats.org/officeDocument/2006/relationships/hyperlink" Target="https://climateactiontracker.org/countries/nepal/" TargetMode="External"/><Relationship Id="rId3" Type="http://schemas.openxmlformats.org/officeDocument/2006/relationships/hyperlink" Target="https://newclimate.org/resources/publications/emissions-scenarios-for-major-economies-2022-update" TargetMode="External"/><Relationship Id="rId21" Type="http://schemas.openxmlformats.org/officeDocument/2006/relationships/comments" Target="../comments1.xml"/><Relationship Id="rId7" Type="http://schemas.openxmlformats.org/officeDocument/2006/relationships/hyperlink" Target="https://newclimate.org/resources/publications/emissions-scenarios-for-major-economies-2022-update" TargetMode="External"/><Relationship Id="rId12" Type="http://schemas.openxmlformats.org/officeDocument/2006/relationships/hyperlink" Target="https://newclimate.org/resources/publications/emissions-scenarios-for-major-economies-2022-update" TargetMode="External"/><Relationship Id="rId17" Type="http://schemas.openxmlformats.org/officeDocument/2006/relationships/hyperlink" Target="https://newclimate.org/sites/default/files/2021/11/NewClimate_TrackingCurrentPolicies_Nov21.pdf" TargetMode="External"/><Relationship Id="rId2" Type="http://schemas.openxmlformats.org/officeDocument/2006/relationships/hyperlink" Target="https://climateactiontracker.org/countries/nigeria/" TargetMode="External"/><Relationship Id="rId16" Type="http://schemas.openxmlformats.org/officeDocument/2006/relationships/hyperlink" Target="https://unfccc.int/sites/default/files/resource/KHM_LTS_Dec2021.pdf" TargetMode="External"/><Relationship Id="rId20" Type="http://schemas.openxmlformats.org/officeDocument/2006/relationships/vmlDrawing" Target="../drawings/vmlDrawing1.vml"/><Relationship Id="rId1" Type="http://schemas.openxmlformats.org/officeDocument/2006/relationships/hyperlink" Target="http://doi.org/10.2760/410610" TargetMode="External"/><Relationship Id="rId6" Type="http://schemas.openxmlformats.org/officeDocument/2006/relationships/hyperlink" Target="https://newclimate.org/resources/publications/emissions-scenarios-for-major-economies-2022-update" TargetMode="External"/><Relationship Id="rId11" Type="http://schemas.openxmlformats.org/officeDocument/2006/relationships/hyperlink" Target="https://newclimate.org/resources/publications/emissions-scenarios-for-major-economies-2022-update" TargetMode="External"/><Relationship Id="rId5" Type="http://schemas.openxmlformats.org/officeDocument/2006/relationships/hyperlink" Target="https://newclimate.org/sites/default/files/2021/11/NewClimate_TrackingCurrentPolicies_Nov21.pdf" TargetMode="External"/><Relationship Id="rId15" Type="http://schemas.openxmlformats.org/officeDocument/2006/relationships/hyperlink" Target="http://doi.org/10.2760/410610" TargetMode="External"/><Relationship Id="rId10" Type="http://schemas.openxmlformats.org/officeDocument/2006/relationships/hyperlink" Target="https://newclimate.org/resources/publications/emissions-scenarios-for-major-economies-2022-update" TargetMode="External"/><Relationship Id="rId19" Type="http://schemas.openxmlformats.org/officeDocument/2006/relationships/printerSettings" Target="../printerSettings/printerSettings1.bin"/><Relationship Id="rId4" Type="http://schemas.openxmlformats.org/officeDocument/2006/relationships/hyperlink" Target="https://newclimate.org/sites/default/files/2021/11/NewClimate_TrackingCurrentPolicies_Nov21.pdf" TargetMode="External"/><Relationship Id="rId9" Type="http://schemas.openxmlformats.org/officeDocument/2006/relationships/hyperlink" Target="http://doi.org/10.2760/410610" TargetMode="External"/><Relationship Id="rId14" Type="http://schemas.openxmlformats.org/officeDocument/2006/relationships/hyperlink" Target="https://newclimate.org/sites/default/files/2021/11/NewClimate_TrackingCurrentPolicies_Nov21.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limateactiontracker.org/global/cat-net-zero-target-evaluation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1008"/>
  <sheetViews>
    <sheetView workbookViewId="0">
      <pane xSplit="3" ySplit="3" topLeftCell="D15" activePane="bottomRight" state="frozen"/>
      <selection pane="topRight" activeCell="D1" sqref="D1"/>
      <selection pane="bottomLeft" activeCell="A4" sqref="A4"/>
      <selection pane="bottomRight" activeCell="F46" sqref="F46"/>
    </sheetView>
  </sheetViews>
  <sheetFormatPr defaultColWidth="12.7109375" defaultRowHeight="15.75" customHeight="1" x14ac:dyDescent="0.2"/>
  <cols>
    <col min="10" max="10" width="24.28515625" customWidth="1"/>
    <col min="11" max="11" width="19.7109375" customWidth="1"/>
    <col min="14" max="14" width="17.7109375" customWidth="1"/>
    <col min="16" max="16" width="27.140625" customWidth="1"/>
    <col min="26" max="26" width="26" customWidth="1"/>
    <col min="27" max="27" width="48.42578125" customWidth="1"/>
  </cols>
  <sheetData>
    <row r="1" spans="1:36" ht="12.75" x14ac:dyDescent="0.2">
      <c r="A1" s="1"/>
      <c r="B1" s="2"/>
      <c r="C1" s="2"/>
      <c r="D1" s="96" t="s">
        <v>0</v>
      </c>
      <c r="E1" s="97"/>
      <c r="F1" s="97"/>
      <c r="G1" s="97"/>
      <c r="H1" s="97"/>
      <c r="I1" s="97"/>
      <c r="J1" s="2"/>
      <c r="K1" s="2"/>
      <c r="L1" s="2"/>
      <c r="M1" s="2"/>
      <c r="N1" s="2"/>
      <c r="O1" s="3" t="s">
        <v>1</v>
      </c>
      <c r="P1" s="3" t="s">
        <v>2</v>
      </c>
      <c r="Q1" s="3" t="s">
        <v>3</v>
      </c>
      <c r="R1" s="3"/>
      <c r="S1" s="3"/>
      <c r="T1" s="2"/>
      <c r="U1" s="2"/>
      <c r="V1" s="2"/>
      <c r="W1" s="73" t="s">
        <v>221</v>
      </c>
      <c r="X1" s="2"/>
      <c r="Y1" s="2"/>
      <c r="Z1" s="3" t="s">
        <v>2</v>
      </c>
      <c r="AA1" s="3" t="s">
        <v>3</v>
      </c>
      <c r="AB1" s="2"/>
      <c r="AC1" s="4"/>
      <c r="AD1" s="4"/>
      <c r="AE1" s="4"/>
      <c r="AF1" s="4"/>
      <c r="AG1" s="4"/>
      <c r="AH1" s="3" t="s">
        <v>4</v>
      </c>
      <c r="AI1" s="3" t="s">
        <v>4</v>
      </c>
      <c r="AJ1" s="4"/>
    </row>
    <row r="2" spans="1:36" ht="12.75" x14ac:dyDescent="0.2">
      <c r="A2" s="2" t="s">
        <v>5</v>
      </c>
      <c r="B2" s="2" t="s">
        <v>6</v>
      </c>
      <c r="C2" s="2"/>
      <c r="D2" s="98" t="s">
        <v>7</v>
      </c>
      <c r="E2" s="97"/>
      <c r="F2" s="2"/>
      <c r="G2" s="2"/>
      <c r="H2" s="2" t="s">
        <v>8</v>
      </c>
      <c r="I2" s="2" t="s">
        <v>9</v>
      </c>
      <c r="J2" s="2" t="s">
        <v>10</v>
      </c>
      <c r="K2" s="2"/>
      <c r="L2" s="2" t="s">
        <v>11</v>
      </c>
      <c r="M2" s="2"/>
      <c r="N2" s="2"/>
      <c r="O2" s="2"/>
      <c r="P2" s="5"/>
      <c r="Q2" s="2" t="s">
        <v>12</v>
      </c>
      <c r="R2" s="5" t="s">
        <v>13</v>
      </c>
      <c r="S2" s="5" t="s">
        <v>13</v>
      </c>
      <c r="T2" s="2" t="s">
        <v>14</v>
      </c>
      <c r="U2" s="2"/>
      <c r="V2" s="2"/>
      <c r="W2" s="72" t="s">
        <v>220</v>
      </c>
      <c r="X2" s="2"/>
      <c r="Y2" s="2"/>
      <c r="Z2" s="5"/>
      <c r="AA2" s="5"/>
      <c r="AB2" s="5"/>
      <c r="AC2" s="4"/>
      <c r="AD2" s="4"/>
      <c r="AE2" s="4"/>
      <c r="AF2" s="4"/>
      <c r="AG2" s="4"/>
      <c r="AH2" s="6"/>
      <c r="AI2" s="2"/>
      <c r="AJ2" s="4"/>
    </row>
    <row r="3" spans="1:36" ht="12.75" x14ac:dyDescent="0.2">
      <c r="A3" s="2"/>
      <c r="B3" s="2"/>
      <c r="C3" s="2" t="s">
        <v>15</v>
      </c>
      <c r="D3" s="2" t="s">
        <v>16</v>
      </c>
      <c r="E3" s="2" t="s">
        <v>17</v>
      </c>
      <c r="F3" s="2">
        <v>2020</v>
      </c>
      <c r="G3" s="2" t="s">
        <v>16</v>
      </c>
      <c r="H3" s="2" t="s">
        <v>17</v>
      </c>
      <c r="I3" s="2" t="s">
        <v>17</v>
      </c>
      <c r="J3" s="2" t="s">
        <v>18</v>
      </c>
      <c r="K3" s="2" t="s">
        <v>19</v>
      </c>
      <c r="L3" s="2" t="s">
        <v>16</v>
      </c>
      <c r="M3" s="2" t="s">
        <v>17</v>
      </c>
      <c r="N3" s="2" t="s">
        <v>20</v>
      </c>
      <c r="O3" s="2" t="s">
        <v>21</v>
      </c>
      <c r="P3" s="2" t="s">
        <v>22</v>
      </c>
      <c r="Q3" s="7" t="s">
        <v>23</v>
      </c>
      <c r="R3" s="7" t="s">
        <v>24</v>
      </c>
      <c r="S3" s="7" t="s">
        <v>25</v>
      </c>
      <c r="T3" s="8">
        <v>0.1</v>
      </c>
      <c r="U3" s="8">
        <v>0</v>
      </c>
      <c r="V3" s="8">
        <v>0.2</v>
      </c>
      <c r="W3" s="8">
        <v>0.1</v>
      </c>
      <c r="X3" s="8">
        <v>0</v>
      </c>
      <c r="Y3" s="8">
        <v>0.2</v>
      </c>
      <c r="Z3" s="2" t="s">
        <v>26</v>
      </c>
      <c r="AA3" s="4" t="s">
        <v>27</v>
      </c>
      <c r="AB3" s="2" t="s">
        <v>28</v>
      </c>
      <c r="AC3" s="4"/>
      <c r="AD3" s="4"/>
      <c r="AE3" s="4"/>
      <c r="AF3" s="4"/>
      <c r="AG3" s="4"/>
      <c r="AH3" s="9" t="s">
        <v>29</v>
      </c>
      <c r="AI3" s="2" t="s">
        <v>30</v>
      </c>
      <c r="AJ3" s="4"/>
    </row>
    <row r="4" spans="1:36" ht="12.75" x14ac:dyDescent="0.2">
      <c r="A4" s="2" t="s">
        <v>31</v>
      </c>
      <c r="B4" s="2" t="s">
        <v>32</v>
      </c>
      <c r="C4" s="2" t="s">
        <v>33</v>
      </c>
      <c r="D4" s="10">
        <v>2016</v>
      </c>
      <c r="E4" s="10">
        <v>378</v>
      </c>
      <c r="F4" s="102">
        <v>367.67525088000002</v>
      </c>
      <c r="G4" s="12">
        <v>2030</v>
      </c>
      <c r="H4" s="11">
        <v>375</v>
      </c>
      <c r="I4" s="11">
        <v>424</v>
      </c>
      <c r="J4" s="13">
        <v>398.91</v>
      </c>
      <c r="K4" s="14">
        <f t="shared" ref="K4:K46" si="0">J4/49758.23</f>
        <v>8.0169652336909893E-3</v>
      </c>
      <c r="L4" s="13">
        <v>2050</v>
      </c>
      <c r="M4" s="13">
        <v>0</v>
      </c>
      <c r="N4" s="104" t="s">
        <v>41</v>
      </c>
      <c r="O4" s="16" t="s">
        <v>35</v>
      </c>
      <c r="P4" s="16" t="str">
        <f t="array" ref="P4">INDEX(CAT_NZ_Nov22!$Q$16:$Q$54,MATCH($B4,CAT_NZ_Nov22!$C$16:$C$53,0))</f>
        <v>Weaker</v>
      </c>
      <c r="Q4" s="4" t="s">
        <v>36</v>
      </c>
      <c r="R4" s="4" t="s">
        <v>36</v>
      </c>
      <c r="S4" s="17" t="s">
        <v>36</v>
      </c>
      <c r="T4" s="18" t="str">
        <f t="shared" ref="T4:T46" si="1">IF(AND(O4="Y",AND(P4="credible",Q4="Y")),"higher",IF(Q4="Y","lower",IF(AND(Q4="N",OR(O4="Y",P4="credible")),"lower","much lower")))</f>
        <v>much lower</v>
      </c>
      <c r="U4" s="18" t="str">
        <f t="shared" ref="U4:U46" si="2">IF(AND(O4="Y",AND(P4="credible",R4="Y")),"higher",IF(R4="Y","lower",IF(AND(R4="N",OR(O4="Y",P4="credible")),"lower","much lower")))</f>
        <v>much lower</v>
      </c>
      <c r="V4" s="18" t="str">
        <f t="shared" ref="V4:V46" si="3">IF(AND(O4="Y",AND(P4="credible",S4="Y")),"higher",IF(S4="Y","lower",IF(AND(S4="N",OR(O4="Y",P4="credible")),"lower","much lower")))</f>
        <v>much lower</v>
      </c>
      <c r="W4" s="18" t="str">
        <f>IF(AND($P4="credible",Q4="Y"),"stronger","weak")</f>
        <v>weak</v>
      </c>
      <c r="X4" s="18" t="str">
        <f t="shared" ref="X4:Y4" si="4">IF(AND($P4="credible",R4="Y"),"stronger","weak")</f>
        <v>weak</v>
      </c>
      <c r="Y4" s="18" t="str">
        <f t="shared" si="4"/>
        <v>weak</v>
      </c>
      <c r="Z4" s="16" t="s">
        <v>37</v>
      </c>
      <c r="AA4" s="16"/>
      <c r="AB4" s="19" t="s">
        <v>38</v>
      </c>
      <c r="AC4" s="4"/>
      <c r="AD4" s="4"/>
      <c r="AE4" s="4"/>
      <c r="AF4" s="20" t="s">
        <v>36</v>
      </c>
      <c r="AG4" s="4"/>
      <c r="AH4" s="9" t="s">
        <v>35</v>
      </c>
      <c r="AI4" s="18" t="str">
        <f t="shared" ref="AI4:AI46" si="5">IF(I4&lt;0.9*J4,"Y","N")</f>
        <v>N</v>
      </c>
      <c r="AJ4" s="4"/>
    </row>
    <row r="5" spans="1:36" ht="12.75" x14ac:dyDescent="0.2">
      <c r="A5" s="2" t="s">
        <v>39</v>
      </c>
      <c r="B5" s="2" t="s">
        <v>40</v>
      </c>
      <c r="C5" s="95" t="s">
        <v>33</v>
      </c>
      <c r="D5" s="10">
        <v>2020</v>
      </c>
      <c r="E5" s="10">
        <v>503</v>
      </c>
      <c r="F5" s="102">
        <v>568.40599298999996</v>
      </c>
      <c r="G5" s="12">
        <v>2030</v>
      </c>
      <c r="H5" s="11">
        <v>347</v>
      </c>
      <c r="I5" s="11">
        <v>458</v>
      </c>
      <c r="J5" s="13">
        <v>608.49</v>
      </c>
      <c r="K5" s="14">
        <f t="shared" si="0"/>
        <v>1.2228931776713118E-2</v>
      </c>
      <c r="L5" s="13">
        <v>2050</v>
      </c>
      <c r="M5" s="13">
        <v>0</v>
      </c>
      <c r="N5" s="15" t="s">
        <v>41</v>
      </c>
      <c r="O5" s="21" t="s">
        <v>42</v>
      </c>
      <c r="P5" s="16" t="str">
        <f t="array" ref="P5">INDEX(CAT_NZ_Nov22!$Q$16:$Q$54,MATCH($B5,CAT_NZ_Nov22!$C$16:$C$53,0))</f>
        <v>Weaker</v>
      </c>
      <c r="Q5" s="4" t="s">
        <v>36</v>
      </c>
      <c r="R5" s="21" t="s">
        <v>43</v>
      </c>
      <c r="S5" s="17" t="s">
        <v>36</v>
      </c>
      <c r="T5" s="18" t="str">
        <f t="shared" si="1"/>
        <v>lower</v>
      </c>
      <c r="U5" s="18" t="str">
        <f t="shared" si="2"/>
        <v>lower</v>
      </c>
      <c r="V5" s="18" t="str">
        <f t="shared" si="3"/>
        <v>lower</v>
      </c>
      <c r="W5" s="18" t="str">
        <f t="shared" ref="W5:W46" si="6">IF(AND($P5="credible",Q5="Y"),"stronger","weak")</f>
        <v>weak</v>
      </c>
      <c r="X5" s="18" t="str">
        <f t="shared" ref="X5:X46" si="7">IF(AND($P5="credible",R5="Y"),"stronger","weak")</f>
        <v>weak</v>
      </c>
      <c r="Y5" s="18" t="str">
        <f t="shared" ref="Y5:Y46" si="8">IF(AND($P5="credible",S5="Y"),"stronger","weak")</f>
        <v>weak</v>
      </c>
      <c r="Z5" s="16" t="s">
        <v>37</v>
      </c>
      <c r="AA5" s="16" t="s">
        <v>44</v>
      </c>
      <c r="AB5" s="19" t="s">
        <v>38</v>
      </c>
      <c r="AC5" s="4"/>
      <c r="AD5" s="4"/>
      <c r="AE5" s="4"/>
      <c r="AF5" s="20" t="s">
        <v>36</v>
      </c>
      <c r="AG5" s="4"/>
      <c r="AH5" s="9" t="s">
        <v>42</v>
      </c>
      <c r="AI5" s="18" t="str">
        <f t="shared" si="5"/>
        <v>Y</v>
      </c>
      <c r="AJ5" s="4"/>
    </row>
    <row r="6" spans="1:36" s="94" customFormat="1" ht="12.75" x14ac:dyDescent="0.2">
      <c r="A6" s="95" t="s">
        <v>244</v>
      </c>
      <c r="B6" s="95" t="s">
        <v>243</v>
      </c>
      <c r="C6" s="2" t="s">
        <v>33</v>
      </c>
      <c r="D6" s="10"/>
      <c r="E6" s="10"/>
      <c r="F6" s="102">
        <v>66.3048792830633</v>
      </c>
      <c r="G6" s="12"/>
      <c r="H6" s="11"/>
      <c r="I6" s="11"/>
      <c r="J6" s="13"/>
      <c r="K6" s="14"/>
      <c r="L6" s="105">
        <v>2060</v>
      </c>
      <c r="M6" s="105">
        <v>0</v>
      </c>
      <c r="N6" s="104" t="s">
        <v>41</v>
      </c>
      <c r="O6" s="104" t="s">
        <v>35</v>
      </c>
      <c r="P6" s="16"/>
      <c r="Q6" s="4"/>
      <c r="R6" s="21"/>
      <c r="S6" s="17"/>
      <c r="T6" s="18"/>
      <c r="U6" s="18"/>
      <c r="V6" s="18"/>
      <c r="W6" s="106" t="s">
        <v>242</v>
      </c>
      <c r="X6" s="18"/>
      <c r="Y6" s="18"/>
      <c r="Z6" s="16"/>
      <c r="AA6" s="16"/>
      <c r="AB6" s="19"/>
      <c r="AC6" s="4"/>
      <c r="AD6" s="4"/>
      <c r="AE6" s="4"/>
      <c r="AF6" s="20"/>
      <c r="AG6" s="4"/>
      <c r="AH6" s="9"/>
      <c r="AI6" s="18"/>
      <c r="AJ6" s="4"/>
    </row>
    <row r="7" spans="1:36" ht="12.75" x14ac:dyDescent="0.2">
      <c r="A7" s="2" t="s">
        <v>45</v>
      </c>
      <c r="B7" s="2" t="s">
        <v>46</v>
      </c>
      <c r="C7" s="2" t="s">
        <v>33</v>
      </c>
      <c r="D7" s="10">
        <v>2018</v>
      </c>
      <c r="E7" s="10">
        <v>1366</v>
      </c>
      <c r="F7" s="102">
        <v>2228.2033830266701</v>
      </c>
      <c r="G7" s="12">
        <v>2030</v>
      </c>
      <c r="H7" s="11">
        <v>1268</v>
      </c>
      <c r="I7" s="11">
        <v>1541</v>
      </c>
      <c r="J7" s="13">
        <v>1451.63</v>
      </c>
      <c r="K7" s="14">
        <f t="shared" si="0"/>
        <v>2.9173666346250661E-2</v>
      </c>
      <c r="L7" s="13">
        <v>2050</v>
      </c>
      <c r="M7" s="13">
        <v>0</v>
      </c>
      <c r="N7" s="15" t="s">
        <v>34</v>
      </c>
      <c r="O7" s="16" t="s">
        <v>35</v>
      </c>
      <c r="P7" s="16" t="str">
        <f t="array" ref="P7">INDEX(CAT_NZ_Nov22!$Q$16:$Q$54,MATCH($B7,CAT_NZ_Nov22!$C$16:$C$53,0))</f>
        <v>None</v>
      </c>
      <c r="Q7" s="4" t="s">
        <v>36</v>
      </c>
      <c r="R7" s="4" t="s">
        <v>36</v>
      </c>
      <c r="S7" s="17" t="s">
        <v>36</v>
      </c>
      <c r="T7" s="18" t="str">
        <f t="shared" si="1"/>
        <v>much lower</v>
      </c>
      <c r="U7" s="18" t="str">
        <f t="shared" si="2"/>
        <v>much lower</v>
      </c>
      <c r="V7" s="18" t="str">
        <f t="shared" si="3"/>
        <v>much lower</v>
      </c>
      <c r="W7" s="18" t="str">
        <f t="shared" si="6"/>
        <v>weak</v>
      </c>
      <c r="X7" s="18" t="str">
        <f t="shared" si="7"/>
        <v>weak</v>
      </c>
      <c r="Y7" s="18" t="str">
        <f t="shared" si="8"/>
        <v>weak</v>
      </c>
      <c r="Z7" s="16" t="s">
        <v>37</v>
      </c>
      <c r="AA7" s="16"/>
      <c r="AB7" s="19" t="s">
        <v>38</v>
      </c>
      <c r="AC7" s="4"/>
      <c r="AD7" s="4"/>
      <c r="AE7" s="4"/>
      <c r="AF7" s="20" t="s">
        <v>36</v>
      </c>
      <c r="AG7" s="4"/>
      <c r="AH7" s="9" t="s">
        <v>35</v>
      </c>
      <c r="AI7" s="18" t="str">
        <f t="shared" si="5"/>
        <v>N</v>
      </c>
      <c r="AJ7" s="4"/>
    </row>
    <row r="8" spans="1:36" ht="12.75" x14ac:dyDescent="0.2">
      <c r="A8" s="2" t="s">
        <v>47</v>
      </c>
      <c r="B8" s="2" t="s">
        <v>48</v>
      </c>
      <c r="C8" s="2" t="s">
        <v>33</v>
      </c>
      <c r="D8" s="10">
        <v>2020</v>
      </c>
      <c r="E8" s="10">
        <v>638</v>
      </c>
      <c r="F8" s="102">
        <v>757.16091448333304</v>
      </c>
      <c r="G8" s="12">
        <v>2030</v>
      </c>
      <c r="H8" s="11">
        <v>427</v>
      </c>
      <c r="I8" s="11">
        <v>621</v>
      </c>
      <c r="J8" s="13">
        <v>774.29</v>
      </c>
      <c r="K8" s="14">
        <f t="shared" si="0"/>
        <v>1.5561043871536425E-2</v>
      </c>
      <c r="L8" s="13">
        <v>2050</v>
      </c>
      <c r="M8" s="13">
        <v>0</v>
      </c>
      <c r="N8" s="15" t="s">
        <v>41</v>
      </c>
      <c r="O8" s="16" t="s">
        <v>42</v>
      </c>
      <c r="P8" s="16" t="str">
        <f t="array" ref="P8">INDEX(CAT_NZ_Nov22!$Q$16:$Q$54,MATCH($B8,CAT_NZ_Nov22!$C$16:$C$53,0))</f>
        <v>Credible</v>
      </c>
      <c r="Q8" s="19" t="s">
        <v>36</v>
      </c>
      <c r="R8" s="4" t="s">
        <v>36</v>
      </c>
      <c r="S8" s="17" t="s">
        <v>36</v>
      </c>
      <c r="T8" s="18" t="str">
        <f t="shared" si="1"/>
        <v>lower</v>
      </c>
      <c r="U8" s="18" t="str">
        <f t="shared" si="2"/>
        <v>lower</v>
      </c>
      <c r="V8" s="18" t="str">
        <f t="shared" si="3"/>
        <v>lower</v>
      </c>
      <c r="W8" s="18" t="str">
        <f t="shared" si="6"/>
        <v>weak</v>
      </c>
      <c r="X8" s="18" t="str">
        <f t="shared" si="7"/>
        <v>weak</v>
      </c>
      <c r="Y8" s="18" t="str">
        <f t="shared" si="8"/>
        <v>weak</v>
      </c>
      <c r="Z8" s="16" t="s">
        <v>37</v>
      </c>
      <c r="AA8" s="16" t="s">
        <v>49</v>
      </c>
      <c r="AB8" s="19" t="s">
        <v>38</v>
      </c>
      <c r="AC8" s="4"/>
      <c r="AD8" s="4"/>
      <c r="AE8" s="4"/>
      <c r="AF8" s="20" t="s">
        <v>36</v>
      </c>
      <c r="AG8" s="4"/>
      <c r="AH8" s="9" t="s">
        <v>42</v>
      </c>
      <c r="AI8" s="18" t="str">
        <f t="shared" si="5"/>
        <v>Y</v>
      </c>
      <c r="AJ8" s="4"/>
    </row>
    <row r="9" spans="1:36" s="94" customFormat="1" ht="12.75" x14ac:dyDescent="0.2">
      <c r="A9" s="95" t="s">
        <v>196</v>
      </c>
      <c r="B9" s="95" t="s">
        <v>197</v>
      </c>
      <c r="C9" s="95" t="s">
        <v>33</v>
      </c>
      <c r="D9" s="10"/>
      <c r="E9" s="10"/>
      <c r="F9" s="102">
        <v>41.187815052700003</v>
      </c>
      <c r="G9" s="12"/>
      <c r="H9" s="11"/>
      <c r="I9" s="11"/>
      <c r="J9" s="13"/>
      <c r="K9" s="14"/>
      <c r="L9" s="105">
        <v>2050</v>
      </c>
      <c r="M9" s="105">
        <v>0</v>
      </c>
      <c r="N9" s="107" t="s">
        <v>41</v>
      </c>
      <c r="O9" s="108" t="s">
        <v>42</v>
      </c>
      <c r="P9" s="16" t="str">
        <f t="array" ref="P9">INDEX(CAT_NZ_Nov22!$Q$16:$Q$54,MATCH($B9,CAT_NZ_Nov22!$C$16:$C$53,0))</f>
        <v>Credible</v>
      </c>
      <c r="Q9" s="19"/>
      <c r="R9" s="4"/>
      <c r="S9" s="17"/>
      <c r="T9" s="18"/>
      <c r="U9" s="18"/>
      <c r="V9" s="18"/>
      <c r="W9" s="106" t="s">
        <v>245</v>
      </c>
      <c r="X9" s="18"/>
      <c r="Y9" s="18"/>
      <c r="Z9" s="16"/>
      <c r="AA9" s="16"/>
      <c r="AB9" s="19"/>
      <c r="AC9" s="4"/>
      <c r="AD9" s="4"/>
      <c r="AE9" s="4"/>
      <c r="AF9" s="20"/>
      <c r="AG9" s="4"/>
      <c r="AH9" s="9"/>
      <c r="AI9" s="18"/>
      <c r="AJ9" s="4"/>
    </row>
    <row r="10" spans="1:36" ht="12.75" x14ac:dyDescent="0.2">
      <c r="A10" s="2" t="s">
        <v>50</v>
      </c>
      <c r="B10" s="2" t="s">
        <v>51</v>
      </c>
      <c r="C10" s="2" t="s">
        <v>33</v>
      </c>
      <c r="D10" s="10">
        <v>2018</v>
      </c>
      <c r="E10" s="10">
        <v>12233</v>
      </c>
      <c r="F10" s="102">
        <v>13283.73005606</v>
      </c>
      <c r="G10" s="12">
        <v>2030</v>
      </c>
      <c r="H10" s="11">
        <v>14092</v>
      </c>
      <c r="I10" s="11">
        <v>14705</v>
      </c>
      <c r="J10" s="13">
        <v>12055.41</v>
      </c>
      <c r="K10" s="14">
        <f t="shared" si="0"/>
        <v>0.242279719354969</v>
      </c>
      <c r="L10" s="13">
        <v>2060</v>
      </c>
      <c r="M10" s="13">
        <v>0</v>
      </c>
      <c r="N10" s="15" t="s">
        <v>34</v>
      </c>
      <c r="O10" s="16" t="s">
        <v>35</v>
      </c>
      <c r="P10" s="16" t="str">
        <f t="array" ref="P10">INDEX(CAT_NZ_Nov22!$Q$16:$Q$54,MATCH($B10,CAT_NZ_Nov22!$C$16:$C$53,0))</f>
        <v>Credible</v>
      </c>
      <c r="Q10" s="4" t="s">
        <v>36</v>
      </c>
      <c r="R10" s="4" t="s">
        <v>36</v>
      </c>
      <c r="S10" s="17" t="s">
        <v>36</v>
      </c>
      <c r="T10" s="18" t="str">
        <f t="shared" si="1"/>
        <v>lower</v>
      </c>
      <c r="U10" s="18" t="str">
        <f t="shared" si="2"/>
        <v>lower</v>
      </c>
      <c r="V10" s="18" t="str">
        <f t="shared" si="3"/>
        <v>lower</v>
      </c>
      <c r="W10" s="18" t="str">
        <f t="shared" si="6"/>
        <v>weak</v>
      </c>
      <c r="X10" s="18" t="str">
        <f t="shared" si="7"/>
        <v>weak</v>
      </c>
      <c r="Y10" s="18" t="str">
        <f t="shared" si="8"/>
        <v>weak</v>
      </c>
      <c r="Z10" s="16" t="s">
        <v>37</v>
      </c>
      <c r="AA10" s="16"/>
      <c r="AB10" s="19" t="s">
        <v>38</v>
      </c>
      <c r="AC10" s="4"/>
      <c r="AD10" s="4"/>
      <c r="AE10" s="4"/>
      <c r="AF10" s="20" t="s">
        <v>36</v>
      </c>
      <c r="AG10" s="4"/>
      <c r="AH10" s="9" t="s">
        <v>35</v>
      </c>
      <c r="AI10" s="18" t="str">
        <f t="shared" si="5"/>
        <v>N</v>
      </c>
      <c r="AJ10" s="4"/>
    </row>
    <row r="11" spans="1:36" ht="12.75" x14ac:dyDescent="0.2">
      <c r="A11" s="2" t="s">
        <v>52</v>
      </c>
      <c r="B11" s="2" t="s">
        <v>53</v>
      </c>
      <c r="C11" s="2" t="s">
        <v>33</v>
      </c>
      <c r="D11" s="10">
        <v>2020</v>
      </c>
      <c r="E11" s="10">
        <v>3043</v>
      </c>
      <c r="F11" s="11">
        <v>3046</v>
      </c>
      <c r="G11" s="12">
        <v>2030</v>
      </c>
      <c r="H11" s="11">
        <v>2146</v>
      </c>
      <c r="I11" s="11">
        <v>2426</v>
      </c>
      <c r="J11" s="22">
        <v>3149.57</v>
      </c>
      <c r="K11" s="14">
        <f t="shared" si="0"/>
        <v>6.3297468579569652E-2</v>
      </c>
      <c r="L11" s="13">
        <v>2050</v>
      </c>
      <c r="M11" s="13">
        <v>0</v>
      </c>
      <c r="N11" s="15" t="s">
        <v>41</v>
      </c>
      <c r="O11" s="16" t="s">
        <v>42</v>
      </c>
      <c r="P11" s="16" t="str">
        <f t="array" ref="P11">INDEX(CAT_NZ_Nov22!$Q$16:$Q$54,MATCH($B11,CAT_NZ_Nov22!$C$16:$C$53,0))</f>
        <v>Credible</v>
      </c>
      <c r="Q11" s="4" t="s">
        <v>43</v>
      </c>
      <c r="R11" s="17" t="s">
        <v>43</v>
      </c>
      <c r="S11" s="21" t="s">
        <v>36</v>
      </c>
      <c r="T11" s="18" t="str">
        <f t="shared" si="1"/>
        <v>higher</v>
      </c>
      <c r="U11" s="18" t="str">
        <f t="shared" si="2"/>
        <v>higher</v>
      </c>
      <c r="V11" s="18" t="str">
        <f t="shared" si="3"/>
        <v>lower</v>
      </c>
      <c r="W11" s="18" t="str">
        <f t="shared" si="6"/>
        <v>stronger</v>
      </c>
      <c r="X11" s="18" t="str">
        <f t="shared" si="7"/>
        <v>stronger</v>
      </c>
      <c r="Y11" s="18" t="str">
        <f t="shared" si="8"/>
        <v>weak</v>
      </c>
      <c r="Z11" s="16" t="s">
        <v>37</v>
      </c>
      <c r="AA11" s="16"/>
      <c r="AB11" s="19" t="s">
        <v>38</v>
      </c>
      <c r="AC11" s="4"/>
      <c r="AD11" s="4"/>
      <c r="AE11" s="4"/>
      <c r="AF11" s="20" t="s">
        <v>43</v>
      </c>
      <c r="AG11" s="4"/>
      <c r="AH11" s="9" t="s">
        <v>42</v>
      </c>
      <c r="AI11" s="18" t="str">
        <f t="shared" si="5"/>
        <v>Y</v>
      </c>
      <c r="AJ11" s="4"/>
    </row>
    <row r="12" spans="1:36" s="94" customFormat="1" ht="12.75" x14ac:dyDescent="0.2">
      <c r="A12" s="95" t="s">
        <v>247</v>
      </c>
      <c r="B12" s="95" t="s">
        <v>246</v>
      </c>
      <c r="C12" s="95" t="s">
        <v>33</v>
      </c>
      <c r="D12" s="10"/>
      <c r="E12" s="10"/>
      <c r="F12" s="102">
        <v>52.120975955999903</v>
      </c>
      <c r="G12" s="12"/>
      <c r="H12" s="11"/>
      <c r="I12" s="11"/>
      <c r="J12" s="22"/>
      <c r="K12" s="14"/>
      <c r="L12" s="105">
        <v>2070</v>
      </c>
      <c r="M12" s="13"/>
      <c r="N12" s="107" t="s">
        <v>74</v>
      </c>
      <c r="O12" s="108" t="s">
        <v>35</v>
      </c>
      <c r="P12" s="16" t="e">
        <f t="array" ref="P12">INDEX(CAT_NZ_Nov22!$Q$16:$Q$54,MATCH($B12,CAT_NZ_Nov22!$C$16:$C$53,0))</f>
        <v>#N/A</v>
      </c>
      <c r="Q12" s="4"/>
      <c r="R12" s="17"/>
      <c r="S12" s="21"/>
      <c r="T12" s="18"/>
      <c r="U12" s="18"/>
      <c r="V12" s="18"/>
      <c r="W12" s="106" t="s">
        <v>242</v>
      </c>
      <c r="X12" s="18"/>
      <c r="Y12" s="18"/>
      <c r="Z12" s="16"/>
      <c r="AA12" s="16"/>
      <c r="AB12" s="19"/>
      <c r="AC12" s="4"/>
      <c r="AD12" s="4"/>
      <c r="AE12" s="4"/>
      <c r="AF12" s="20"/>
      <c r="AG12" s="4"/>
      <c r="AH12" s="9"/>
      <c r="AI12" s="18"/>
      <c r="AJ12" s="4"/>
    </row>
    <row r="13" spans="1:36" ht="12.75" x14ac:dyDescent="0.2">
      <c r="A13" s="2" t="s">
        <v>54</v>
      </c>
      <c r="B13" s="2" t="s">
        <v>55</v>
      </c>
      <c r="C13" s="2" t="s">
        <v>33</v>
      </c>
      <c r="D13" s="10">
        <v>2018</v>
      </c>
      <c r="E13" s="10">
        <v>2692</v>
      </c>
      <c r="F13" s="102">
        <v>3626.73772156</v>
      </c>
      <c r="G13" s="12">
        <v>2030</v>
      </c>
      <c r="H13" s="11">
        <v>4934</v>
      </c>
      <c r="I13" s="11">
        <v>4893</v>
      </c>
      <c r="J13" s="13">
        <v>3363.59</v>
      </c>
      <c r="K13" s="14">
        <f t="shared" si="0"/>
        <v>6.7598666592441084E-2</v>
      </c>
      <c r="L13" s="13">
        <v>2070</v>
      </c>
      <c r="M13" s="13">
        <v>0</v>
      </c>
      <c r="N13" s="15" t="s">
        <v>34</v>
      </c>
      <c r="O13" s="16" t="s">
        <v>35</v>
      </c>
      <c r="P13" s="16" t="str">
        <f t="array" ref="P13">INDEX(CAT_NZ_Nov22!$Q$16:$Q$54,MATCH($B13,CAT_NZ_Nov22!$C$16:$C$53,0))</f>
        <v>None</v>
      </c>
      <c r="Q13" s="4" t="s">
        <v>36</v>
      </c>
      <c r="R13" s="4" t="s">
        <v>36</v>
      </c>
      <c r="S13" s="17" t="s">
        <v>36</v>
      </c>
      <c r="T13" s="18" t="str">
        <f t="shared" si="1"/>
        <v>much lower</v>
      </c>
      <c r="U13" s="18" t="str">
        <f t="shared" si="2"/>
        <v>much lower</v>
      </c>
      <c r="V13" s="18" t="str">
        <f t="shared" si="3"/>
        <v>much lower</v>
      </c>
      <c r="W13" s="18" t="str">
        <f t="shared" si="6"/>
        <v>weak</v>
      </c>
      <c r="X13" s="18" t="str">
        <f t="shared" si="7"/>
        <v>weak</v>
      </c>
      <c r="Y13" s="18" t="str">
        <f t="shared" si="8"/>
        <v>weak</v>
      </c>
      <c r="Z13" s="16" t="s">
        <v>37</v>
      </c>
      <c r="AA13" s="16"/>
      <c r="AB13" s="19" t="s">
        <v>38</v>
      </c>
      <c r="AC13" s="4"/>
      <c r="AD13" s="4"/>
      <c r="AE13" s="4"/>
      <c r="AF13" s="20" t="s">
        <v>36</v>
      </c>
      <c r="AG13" s="4"/>
      <c r="AH13" s="9" t="s">
        <v>35</v>
      </c>
      <c r="AI13" s="18" t="str">
        <f t="shared" si="5"/>
        <v>N</v>
      </c>
      <c r="AJ13" s="4"/>
    </row>
    <row r="14" spans="1:36" ht="12.75" x14ac:dyDescent="0.2">
      <c r="A14" s="2" t="s">
        <v>56</v>
      </c>
      <c r="B14" s="2" t="s">
        <v>57</v>
      </c>
      <c r="C14" s="2" t="s">
        <v>33</v>
      </c>
      <c r="D14" s="10">
        <v>2016</v>
      </c>
      <c r="E14" s="10">
        <v>1491</v>
      </c>
      <c r="F14" s="102">
        <v>1931.10341866666</v>
      </c>
      <c r="G14" s="12">
        <v>2030</v>
      </c>
      <c r="H14" s="11">
        <v>2130</v>
      </c>
      <c r="I14" s="11">
        <v>1877</v>
      </c>
      <c r="J14" s="13">
        <v>1959.71</v>
      </c>
      <c r="K14" s="14">
        <f t="shared" si="0"/>
        <v>3.9384640490628384E-2</v>
      </c>
      <c r="L14" s="13">
        <v>2060</v>
      </c>
      <c r="M14" s="13">
        <v>0</v>
      </c>
      <c r="N14" s="15" t="s">
        <v>34</v>
      </c>
      <c r="O14" s="16" t="s">
        <v>35</v>
      </c>
      <c r="P14" s="16" t="str">
        <f t="array" ref="P14">INDEX(CAT_NZ_Nov22!$Q$16:$Q$54,MATCH($B14,CAT_NZ_Nov22!$C$16:$C$53,0))</f>
        <v>None</v>
      </c>
      <c r="Q14" s="4" t="s">
        <v>36</v>
      </c>
      <c r="R14" s="4" t="s">
        <v>36</v>
      </c>
      <c r="S14" s="17" t="s">
        <v>36</v>
      </c>
      <c r="T14" s="18" t="str">
        <f t="shared" si="1"/>
        <v>much lower</v>
      </c>
      <c r="U14" s="18" t="str">
        <f t="shared" si="2"/>
        <v>much lower</v>
      </c>
      <c r="V14" s="18" t="str">
        <f t="shared" si="3"/>
        <v>much lower</v>
      </c>
      <c r="W14" s="18" t="str">
        <f t="shared" si="6"/>
        <v>weak</v>
      </c>
      <c r="X14" s="18" t="str">
        <f t="shared" si="7"/>
        <v>weak</v>
      </c>
      <c r="Y14" s="18" t="str">
        <f t="shared" si="8"/>
        <v>weak</v>
      </c>
      <c r="Z14" s="16" t="s">
        <v>37</v>
      </c>
      <c r="AA14" s="16"/>
      <c r="AB14" s="19" t="s">
        <v>38</v>
      </c>
      <c r="AC14" s="4"/>
      <c r="AD14" s="4"/>
      <c r="AE14" s="4"/>
      <c r="AF14" s="20" t="s">
        <v>36</v>
      </c>
      <c r="AG14" s="4"/>
      <c r="AH14" s="9" t="s">
        <v>35</v>
      </c>
      <c r="AI14" s="18" t="str">
        <f t="shared" si="5"/>
        <v>N</v>
      </c>
      <c r="AJ14" s="4"/>
    </row>
    <row r="15" spans="1:36" ht="12.75" x14ac:dyDescent="0.2">
      <c r="A15" s="2" t="s">
        <v>58</v>
      </c>
      <c r="B15" s="2" t="s">
        <v>59</v>
      </c>
      <c r="C15" s="2" t="s">
        <v>33</v>
      </c>
      <c r="D15" s="10">
        <v>2020</v>
      </c>
      <c r="E15" s="10">
        <v>1070</v>
      </c>
      <c r="F15" s="102">
        <v>1078.7546923883301</v>
      </c>
      <c r="G15" s="12">
        <v>2030</v>
      </c>
      <c r="H15" s="11">
        <v>767</v>
      </c>
      <c r="I15" s="11">
        <v>982</v>
      </c>
      <c r="J15" s="13">
        <v>1134.45</v>
      </c>
      <c r="K15" s="14">
        <f t="shared" si="0"/>
        <v>2.2799243461835358E-2</v>
      </c>
      <c r="L15" s="13">
        <v>2050</v>
      </c>
      <c r="M15" s="13">
        <v>0</v>
      </c>
      <c r="N15" s="15" t="s">
        <v>41</v>
      </c>
      <c r="O15" s="16" t="s">
        <v>42</v>
      </c>
      <c r="P15" s="16" t="str">
        <f t="array" ref="P15">INDEX(CAT_NZ_Nov22!$Q$16:$Q$54,MATCH($B15,CAT_NZ_Nov22!$C$16:$C$53,0))</f>
        <v>Credible</v>
      </c>
      <c r="Q15" s="19" t="s">
        <v>36</v>
      </c>
      <c r="R15" s="21" t="s">
        <v>43</v>
      </c>
      <c r="S15" s="17" t="s">
        <v>36</v>
      </c>
      <c r="T15" s="18" t="str">
        <f t="shared" si="1"/>
        <v>lower</v>
      </c>
      <c r="U15" s="18" t="str">
        <f t="shared" si="2"/>
        <v>higher</v>
      </c>
      <c r="V15" s="18" t="str">
        <f t="shared" si="3"/>
        <v>lower</v>
      </c>
      <c r="W15" s="18" t="str">
        <f t="shared" si="6"/>
        <v>weak</v>
      </c>
      <c r="X15" s="18" t="str">
        <f t="shared" si="7"/>
        <v>stronger</v>
      </c>
      <c r="Y15" s="18" t="str">
        <f t="shared" si="8"/>
        <v>weak</v>
      </c>
      <c r="Z15" s="16" t="s">
        <v>37</v>
      </c>
      <c r="AA15" s="16" t="s">
        <v>60</v>
      </c>
      <c r="AB15" s="19" t="s">
        <v>38</v>
      </c>
      <c r="AC15" s="4"/>
      <c r="AD15" s="4"/>
      <c r="AE15" s="4"/>
      <c r="AF15" s="20" t="s">
        <v>36</v>
      </c>
      <c r="AG15" s="4"/>
      <c r="AH15" s="9" t="s">
        <v>42</v>
      </c>
      <c r="AI15" s="18" t="str">
        <f t="shared" si="5"/>
        <v>Y</v>
      </c>
      <c r="AJ15" s="4"/>
    </row>
    <row r="16" spans="1:36" ht="12.75" x14ac:dyDescent="0.2">
      <c r="A16" s="2" t="s">
        <v>61</v>
      </c>
      <c r="B16" s="2" t="s">
        <v>62</v>
      </c>
      <c r="C16" s="2" t="s">
        <v>33</v>
      </c>
      <c r="D16" s="10">
        <v>2017</v>
      </c>
      <c r="E16" s="10">
        <v>577</v>
      </c>
      <c r="F16" s="102">
        <v>864.23827752666705</v>
      </c>
      <c r="G16" s="12">
        <v>2030</v>
      </c>
      <c r="H16" s="11">
        <v>772</v>
      </c>
      <c r="I16" s="11">
        <v>725</v>
      </c>
      <c r="J16" s="13">
        <v>670.84</v>
      </c>
      <c r="K16" s="14">
        <f t="shared" si="0"/>
        <v>1.3481990818403308E-2</v>
      </c>
      <c r="L16" s="2">
        <v>2050</v>
      </c>
      <c r="M16" s="2">
        <f>558.02/2</f>
        <v>279.01</v>
      </c>
      <c r="N16" s="15" t="s">
        <v>63</v>
      </c>
      <c r="O16" s="21" t="s">
        <v>64</v>
      </c>
      <c r="P16" s="16" t="str">
        <f t="array" ref="P16">INDEX(CAT_NZ_Nov22!$Q$16:$Q$54,MATCH($B16,CAT_NZ_Nov22!$C$16:$C$53,0))</f>
        <v>None</v>
      </c>
      <c r="Q16" s="4" t="s">
        <v>36</v>
      </c>
      <c r="R16" s="4" t="s">
        <v>36</v>
      </c>
      <c r="S16" s="17" t="s">
        <v>36</v>
      </c>
      <c r="T16" s="18" t="str">
        <f t="shared" si="1"/>
        <v>much lower</v>
      </c>
      <c r="U16" s="18" t="str">
        <f t="shared" si="2"/>
        <v>much lower</v>
      </c>
      <c r="V16" s="18" t="str">
        <f t="shared" si="3"/>
        <v>much lower</v>
      </c>
      <c r="W16" s="18" t="str">
        <f t="shared" si="6"/>
        <v>weak</v>
      </c>
      <c r="X16" s="18" t="str">
        <f t="shared" si="7"/>
        <v>weak</v>
      </c>
      <c r="Y16" s="18" t="str">
        <f t="shared" si="8"/>
        <v>weak</v>
      </c>
      <c r="Z16" s="16" t="s">
        <v>37</v>
      </c>
      <c r="AA16" s="16"/>
      <c r="AB16" s="19" t="s">
        <v>38</v>
      </c>
      <c r="AC16" s="4"/>
      <c r="AD16" s="4"/>
      <c r="AE16" s="4"/>
      <c r="AF16" s="20" t="s">
        <v>36</v>
      </c>
      <c r="AG16" s="4"/>
      <c r="AH16" s="9" t="s">
        <v>35</v>
      </c>
      <c r="AI16" s="18" t="str">
        <f t="shared" si="5"/>
        <v>N</v>
      </c>
      <c r="AJ16" s="4"/>
    </row>
    <row r="17" spans="1:36" ht="12.75" x14ac:dyDescent="0.2">
      <c r="A17" s="2" t="s">
        <v>65</v>
      </c>
      <c r="B17" s="2" t="s">
        <v>66</v>
      </c>
      <c r="C17" s="2" t="s">
        <v>33</v>
      </c>
      <c r="D17" s="10">
        <v>2017</v>
      </c>
      <c r="E17" s="10">
        <v>672</v>
      </c>
      <c r="F17" s="102">
        <v>641.52026556066596</v>
      </c>
      <c r="G17" s="12">
        <v>2030</v>
      </c>
      <c r="H17" s="11">
        <v>437</v>
      </c>
      <c r="I17" s="11">
        <v>593</v>
      </c>
      <c r="J17" s="13">
        <v>652.66</v>
      </c>
      <c r="K17" s="14">
        <f t="shared" si="0"/>
        <v>1.3116624124290594E-2</v>
      </c>
      <c r="L17" s="13">
        <v>2050</v>
      </c>
      <c r="M17" s="13">
        <v>0</v>
      </c>
      <c r="N17" s="15" t="s">
        <v>41</v>
      </c>
      <c r="O17" s="16" t="s">
        <v>42</v>
      </c>
      <c r="P17" s="16" t="str">
        <f t="array" ref="P17">INDEX(CAT_NZ_Nov22!$Q$16:$Q$54,MATCH($B17,CAT_NZ_Nov22!$C$16:$C$53,0))</f>
        <v>Credible</v>
      </c>
      <c r="Q17" s="19" t="s">
        <v>36</v>
      </c>
      <c r="R17" s="21" t="s">
        <v>43</v>
      </c>
      <c r="S17" s="17" t="s">
        <v>36</v>
      </c>
      <c r="T17" s="18" t="str">
        <f t="shared" si="1"/>
        <v>lower</v>
      </c>
      <c r="U17" s="18" t="str">
        <f t="shared" si="2"/>
        <v>higher</v>
      </c>
      <c r="V17" s="18" t="str">
        <f t="shared" si="3"/>
        <v>lower</v>
      </c>
      <c r="W17" s="18" t="str">
        <f t="shared" si="6"/>
        <v>weak</v>
      </c>
      <c r="X17" s="18" t="str">
        <f t="shared" si="7"/>
        <v>stronger</v>
      </c>
      <c r="Y17" s="18" t="str">
        <f t="shared" si="8"/>
        <v>weak</v>
      </c>
      <c r="Z17" s="16" t="s">
        <v>37</v>
      </c>
      <c r="AA17" s="16" t="s">
        <v>67</v>
      </c>
      <c r="AB17" s="19" t="s">
        <v>38</v>
      </c>
      <c r="AC17" s="4"/>
      <c r="AD17" s="4"/>
      <c r="AE17" s="4"/>
      <c r="AF17" s="20" t="s">
        <v>43</v>
      </c>
      <c r="AG17" s="4"/>
      <c r="AH17" s="9" t="s">
        <v>42</v>
      </c>
      <c r="AI17" s="18" t="str">
        <f t="shared" si="5"/>
        <v>N</v>
      </c>
      <c r="AJ17" s="4"/>
    </row>
    <row r="18" spans="1:36" s="94" customFormat="1" ht="12.75" x14ac:dyDescent="0.2">
      <c r="A18" s="95" t="s">
        <v>249</v>
      </c>
      <c r="B18" s="95" t="s">
        <v>248</v>
      </c>
      <c r="C18" s="95" t="s">
        <v>33</v>
      </c>
      <c r="D18" s="10"/>
      <c r="E18" s="10"/>
      <c r="F18" s="102">
        <v>137.021117904166</v>
      </c>
      <c r="G18" s="12"/>
      <c r="H18" s="11"/>
      <c r="I18" s="11"/>
      <c r="J18" s="13"/>
      <c r="K18" s="14"/>
      <c r="L18" s="105">
        <v>2060</v>
      </c>
      <c r="M18" s="105">
        <v>0</v>
      </c>
      <c r="N18" s="107" t="s">
        <v>74</v>
      </c>
      <c r="O18" s="108" t="s">
        <v>35</v>
      </c>
      <c r="P18" s="16" t="e">
        <f t="array" ref="P18">INDEX(CAT_NZ_Nov22!$Q$16:$Q$54,MATCH($B18,CAT_NZ_Nov22!$C$16:$C$53,0))</f>
        <v>#N/A</v>
      </c>
      <c r="Q18" s="19"/>
      <c r="R18" s="21"/>
      <c r="S18" s="17"/>
      <c r="T18" s="18"/>
      <c r="U18" s="18"/>
      <c r="V18" s="18"/>
      <c r="W18" s="106" t="s">
        <v>242</v>
      </c>
      <c r="X18" s="18"/>
      <c r="Y18" s="18"/>
      <c r="Z18" s="16"/>
      <c r="AA18" s="16"/>
      <c r="AB18" s="19"/>
      <c r="AC18" s="4"/>
      <c r="AD18" s="4"/>
      <c r="AE18" s="4"/>
      <c r="AF18" s="20"/>
      <c r="AG18" s="4"/>
      <c r="AH18" s="9"/>
      <c r="AI18" s="18"/>
      <c r="AJ18" s="4"/>
    </row>
    <row r="19" spans="1:36" s="94" customFormat="1" ht="12.75" x14ac:dyDescent="0.2">
      <c r="A19" s="95" t="s">
        <v>250</v>
      </c>
      <c r="B19" s="95" t="s">
        <v>251</v>
      </c>
      <c r="C19" s="95" t="s">
        <v>33</v>
      </c>
      <c r="D19" s="10"/>
      <c r="E19" s="10"/>
      <c r="F19" s="102">
        <v>67.476742542333298</v>
      </c>
      <c r="G19" s="12"/>
      <c r="H19" s="11"/>
      <c r="I19" s="11"/>
      <c r="J19" s="13"/>
      <c r="K19" s="14"/>
      <c r="L19" s="104">
        <v>2050</v>
      </c>
      <c r="M19" s="104">
        <v>0</v>
      </c>
      <c r="N19" s="104" t="s">
        <v>41</v>
      </c>
      <c r="O19" s="104" t="s">
        <v>35</v>
      </c>
      <c r="P19" s="16" t="e">
        <f t="array" ref="P19">INDEX(CAT_NZ_Nov22!$Q$16:$Q$54,MATCH($B19,CAT_NZ_Nov22!$C$16:$C$53,0))</f>
        <v>#N/A</v>
      </c>
      <c r="Q19" s="19"/>
      <c r="R19" s="21"/>
      <c r="S19" s="17"/>
      <c r="T19" s="18"/>
      <c r="U19" s="18"/>
      <c r="V19" s="18"/>
      <c r="W19" s="106" t="s">
        <v>242</v>
      </c>
      <c r="X19" s="18"/>
      <c r="Y19" s="18"/>
      <c r="Z19" s="16"/>
      <c r="AA19" s="16"/>
      <c r="AB19" s="19"/>
      <c r="AC19" s="4"/>
      <c r="AD19" s="4"/>
      <c r="AE19" s="4"/>
      <c r="AF19" s="20"/>
      <c r="AG19" s="4"/>
      <c r="AH19" s="9"/>
      <c r="AI19" s="18"/>
      <c r="AJ19" s="4"/>
    </row>
    <row r="20" spans="1:36" ht="12.75" x14ac:dyDescent="0.2">
      <c r="A20" s="2" t="s">
        <v>68</v>
      </c>
      <c r="B20" s="2" t="s">
        <v>69</v>
      </c>
      <c r="C20" s="2" t="s">
        <v>33</v>
      </c>
      <c r="D20" s="10">
        <v>2018</v>
      </c>
      <c r="E20" s="10">
        <v>1629</v>
      </c>
      <c r="F20" s="102">
        <v>2235.4309433499998</v>
      </c>
      <c r="G20" s="12">
        <v>2030</v>
      </c>
      <c r="H20" s="11">
        <v>2205</v>
      </c>
      <c r="I20" s="11">
        <v>1794</v>
      </c>
      <c r="J20" s="13">
        <v>1924.82</v>
      </c>
      <c r="K20" s="14">
        <f t="shared" si="0"/>
        <v>3.8683449953907122E-2</v>
      </c>
      <c r="L20" s="13">
        <v>2060</v>
      </c>
      <c r="M20" s="13">
        <v>0</v>
      </c>
      <c r="N20" s="15" t="s">
        <v>34</v>
      </c>
      <c r="O20" s="16" t="s">
        <v>42</v>
      </c>
      <c r="P20" s="16" t="str">
        <f t="array" ref="P20">INDEX(CAT_NZ_Nov22!$Q$16:$Q$54,MATCH($B20,CAT_NZ_Nov22!$C$16:$C$53,0))</f>
        <v>Credible</v>
      </c>
      <c r="Q20" s="4" t="s">
        <v>36</v>
      </c>
      <c r="R20" s="4" t="s">
        <v>36</v>
      </c>
      <c r="S20" s="17" t="s">
        <v>36</v>
      </c>
      <c r="T20" s="18" t="str">
        <f t="shared" si="1"/>
        <v>lower</v>
      </c>
      <c r="U20" s="18" t="str">
        <f t="shared" si="2"/>
        <v>lower</v>
      </c>
      <c r="V20" s="18" t="str">
        <f t="shared" si="3"/>
        <v>lower</v>
      </c>
      <c r="W20" s="18" t="str">
        <f t="shared" si="6"/>
        <v>weak</v>
      </c>
      <c r="X20" s="18" t="str">
        <f t="shared" si="7"/>
        <v>weak</v>
      </c>
      <c r="Y20" s="18" t="str">
        <f t="shared" si="8"/>
        <v>weak</v>
      </c>
      <c r="Z20" s="16" t="s">
        <v>37</v>
      </c>
      <c r="AA20" s="16"/>
      <c r="AB20" s="19" t="s">
        <v>38</v>
      </c>
      <c r="AC20" s="4"/>
      <c r="AD20" s="4"/>
      <c r="AE20" s="4"/>
      <c r="AF20" s="20" t="s">
        <v>36</v>
      </c>
      <c r="AG20" s="4"/>
      <c r="AH20" s="9" t="s">
        <v>35</v>
      </c>
      <c r="AI20" s="18" t="str">
        <f t="shared" si="5"/>
        <v>N</v>
      </c>
      <c r="AJ20" s="4"/>
    </row>
    <row r="21" spans="1:36" ht="12.75" x14ac:dyDescent="0.2">
      <c r="A21" s="2" t="s">
        <v>70</v>
      </c>
      <c r="B21" s="2" t="s">
        <v>71</v>
      </c>
      <c r="C21" s="2" t="s">
        <v>33</v>
      </c>
      <c r="D21" s="10">
        <v>2015</v>
      </c>
      <c r="E21" s="10">
        <v>640</v>
      </c>
      <c r="F21" s="102">
        <v>749.85290520900003</v>
      </c>
      <c r="G21" s="12">
        <v>2030</v>
      </c>
      <c r="H21" s="11">
        <v>650</v>
      </c>
      <c r="I21" s="11">
        <v>690</v>
      </c>
      <c r="J21" s="13">
        <v>723.15</v>
      </c>
      <c r="K21" s="14">
        <f t="shared" si="0"/>
        <v>1.4533274194037849E-2</v>
      </c>
      <c r="L21" s="13">
        <v>2060</v>
      </c>
      <c r="M21" s="13">
        <v>0</v>
      </c>
      <c r="N21" s="15" t="s">
        <v>34</v>
      </c>
      <c r="O21" s="16" t="s">
        <v>35</v>
      </c>
      <c r="P21" s="16" t="str">
        <f t="array" ref="P21">INDEX(CAT_NZ_Nov22!$Q$16:$Q$54,MATCH($B21,CAT_NZ_Nov22!$C$16:$C$53,0))</f>
        <v>Weaker</v>
      </c>
      <c r="Q21" s="4" t="s">
        <v>36</v>
      </c>
      <c r="R21" s="4" t="s">
        <v>36</v>
      </c>
      <c r="S21" s="17" t="s">
        <v>36</v>
      </c>
      <c r="T21" s="18" t="str">
        <f t="shared" si="1"/>
        <v>much lower</v>
      </c>
      <c r="U21" s="18" t="str">
        <f t="shared" si="2"/>
        <v>much lower</v>
      </c>
      <c r="V21" s="18" t="str">
        <f t="shared" si="3"/>
        <v>much lower</v>
      </c>
      <c r="W21" s="18" t="str">
        <f t="shared" si="6"/>
        <v>weak</v>
      </c>
      <c r="X21" s="18" t="str">
        <f t="shared" si="7"/>
        <v>weak</v>
      </c>
      <c r="Y21" s="18" t="str">
        <f t="shared" si="8"/>
        <v>weak</v>
      </c>
      <c r="Z21" s="16" t="s">
        <v>37</v>
      </c>
      <c r="AA21" s="16"/>
      <c r="AB21" s="19" t="s">
        <v>38</v>
      </c>
      <c r="AC21" s="4"/>
      <c r="AD21" s="4"/>
      <c r="AE21" s="4"/>
      <c r="AF21" s="20" t="s">
        <v>36</v>
      </c>
      <c r="AG21" s="4"/>
      <c r="AH21" s="9" t="s">
        <v>35</v>
      </c>
      <c r="AI21" s="18" t="str">
        <f t="shared" si="5"/>
        <v>N</v>
      </c>
      <c r="AJ21" s="4"/>
    </row>
    <row r="22" spans="1:36" ht="12.75" x14ac:dyDescent="0.2">
      <c r="A22" s="2" t="s">
        <v>72</v>
      </c>
      <c r="B22" s="2" t="s">
        <v>73</v>
      </c>
      <c r="C22" s="2" t="s">
        <v>33</v>
      </c>
      <c r="D22" s="10">
        <v>2017</v>
      </c>
      <c r="E22" s="10">
        <v>528</v>
      </c>
      <c r="F22" s="102">
        <v>549.74934122633294</v>
      </c>
      <c r="G22" s="12">
        <v>2030</v>
      </c>
      <c r="H22" s="11">
        <v>399</v>
      </c>
      <c r="I22" s="11">
        <v>444</v>
      </c>
      <c r="J22" s="13">
        <v>562.19000000000005</v>
      </c>
      <c r="K22" s="14">
        <f t="shared" si="0"/>
        <v>1.1298432440221447E-2</v>
      </c>
      <c r="L22" s="13">
        <v>2050</v>
      </c>
      <c r="M22" s="13">
        <v>0</v>
      </c>
      <c r="N22" s="15" t="s">
        <v>74</v>
      </c>
      <c r="O22" s="16" t="s">
        <v>35</v>
      </c>
      <c r="P22" s="16" t="str">
        <f t="array" ref="P22">INDEX(CAT_NZ_Nov22!$Q$16:$Q$54,MATCH($B22,CAT_NZ_Nov22!$C$16:$C$53,0))</f>
        <v>None</v>
      </c>
      <c r="Q22" s="19" t="s">
        <v>36</v>
      </c>
      <c r="R22" s="21" t="s">
        <v>43</v>
      </c>
      <c r="S22" s="17" t="s">
        <v>36</v>
      </c>
      <c r="T22" s="18" t="str">
        <f t="shared" si="1"/>
        <v>much lower</v>
      </c>
      <c r="U22" s="18" t="str">
        <f t="shared" si="2"/>
        <v>lower</v>
      </c>
      <c r="V22" s="18" t="str">
        <f t="shared" si="3"/>
        <v>much lower</v>
      </c>
      <c r="W22" s="18" t="str">
        <f t="shared" si="6"/>
        <v>weak</v>
      </c>
      <c r="X22" s="18" t="str">
        <f t="shared" si="7"/>
        <v>weak</v>
      </c>
      <c r="Y22" s="18" t="str">
        <f t="shared" si="8"/>
        <v>weak</v>
      </c>
      <c r="Z22" s="16" t="s">
        <v>37</v>
      </c>
      <c r="AA22" s="16" t="s">
        <v>75</v>
      </c>
      <c r="AB22" s="19" t="s">
        <v>38</v>
      </c>
      <c r="AC22" s="4"/>
      <c r="AD22" s="4"/>
      <c r="AE22" s="4"/>
      <c r="AF22" s="20" t="s">
        <v>43</v>
      </c>
      <c r="AG22" s="4"/>
      <c r="AH22" s="9" t="s">
        <v>42</v>
      </c>
      <c r="AI22" s="18" t="str">
        <f t="shared" si="5"/>
        <v>Y</v>
      </c>
      <c r="AJ22" s="4"/>
    </row>
    <row r="23" spans="1:36" ht="12.75" x14ac:dyDescent="0.2">
      <c r="A23" s="2" t="s">
        <v>234</v>
      </c>
      <c r="B23" s="2" t="s">
        <v>76</v>
      </c>
      <c r="C23" s="2" t="s">
        <v>33</v>
      </c>
      <c r="D23" s="10">
        <v>2018</v>
      </c>
      <c r="E23" s="10">
        <v>426</v>
      </c>
      <c r="F23" s="102">
        <v>547.64201104333301</v>
      </c>
      <c r="G23" s="12">
        <v>2030</v>
      </c>
      <c r="H23" s="11">
        <v>936</v>
      </c>
      <c r="I23" s="11">
        <v>569</v>
      </c>
      <c r="J23" s="13">
        <v>459.86</v>
      </c>
      <c r="K23" s="14">
        <f t="shared" si="0"/>
        <v>9.2418882263295941E-3</v>
      </c>
      <c r="L23" s="13">
        <v>2053</v>
      </c>
      <c r="M23" s="13">
        <v>0</v>
      </c>
      <c r="N23" s="15" t="s">
        <v>34</v>
      </c>
      <c r="O23" s="16" t="s">
        <v>35</v>
      </c>
      <c r="P23" s="16" t="str">
        <f t="array" ref="P23">INDEX(CAT_NZ_Nov22!$Q$16:$Q$54,MATCH($B23,CAT_NZ_Nov22!$C$16:$C$53,0))</f>
        <v>Credible</v>
      </c>
      <c r="Q23" s="4" t="s">
        <v>36</v>
      </c>
      <c r="R23" s="4" t="s">
        <v>36</v>
      </c>
      <c r="S23" s="17" t="s">
        <v>36</v>
      </c>
      <c r="T23" s="18" t="str">
        <f t="shared" si="1"/>
        <v>lower</v>
      </c>
      <c r="U23" s="18" t="str">
        <f t="shared" si="2"/>
        <v>lower</v>
      </c>
      <c r="V23" s="18" t="str">
        <f t="shared" si="3"/>
        <v>lower</v>
      </c>
      <c r="W23" s="18" t="str">
        <f t="shared" si="6"/>
        <v>weak</v>
      </c>
      <c r="X23" s="18" t="str">
        <f t="shared" si="7"/>
        <v>weak</v>
      </c>
      <c r="Y23" s="18" t="str">
        <f t="shared" si="8"/>
        <v>weak</v>
      </c>
      <c r="Z23" s="16" t="s">
        <v>37</v>
      </c>
      <c r="AA23" s="16"/>
      <c r="AB23" s="19" t="s">
        <v>38</v>
      </c>
      <c r="AC23" s="4"/>
      <c r="AD23" s="4"/>
      <c r="AE23" s="4"/>
      <c r="AF23" s="20" t="s">
        <v>36</v>
      </c>
      <c r="AG23" s="4"/>
      <c r="AH23" s="9" t="s">
        <v>35</v>
      </c>
      <c r="AI23" s="18" t="str">
        <f t="shared" si="5"/>
        <v>N</v>
      </c>
      <c r="AJ23" s="4"/>
    </row>
    <row r="24" spans="1:36" ht="12.75" x14ac:dyDescent="0.2">
      <c r="A24" s="2" t="s">
        <v>77</v>
      </c>
      <c r="B24" s="2" t="s">
        <v>78</v>
      </c>
      <c r="C24" s="2" t="s">
        <v>33</v>
      </c>
      <c r="D24" s="10">
        <v>2020</v>
      </c>
      <c r="E24" s="10">
        <v>396</v>
      </c>
      <c r="F24" s="102">
        <v>416.13753347333301</v>
      </c>
      <c r="G24" s="12">
        <v>2030</v>
      </c>
      <c r="H24" s="11">
        <v>277</v>
      </c>
      <c r="I24" s="11">
        <v>356</v>
      </c>
      <c r="J24" s="13">
        <v>429.13</v>
      </c>
      <c r="K24" s="14">
        <f t="shared" si="0"/>
        <v>8.6243019496473235E-3</v>
      </c>
      <c r="L24" s="13">
        <v>2050</v>
      </c>
      <c r="M24" s="13">
        <v>0</v>
      </c>
      <c r="N24" s="15" t="s">
        <v>41</v>
      </c>
      <c r="O24" s="16" t="s">
        <v>42</v>
      </c>
      <c r="P24" s="16" t="str">
        <f t="array" ref="P24">INDEX(CAT_NZ_Nov22!$Q$16:$Q$54,MATCH($B24,CAT_NZ_Nov22!$C$16:$C$53,0))</f>
        <v>Credible</v>
      </c>
      <c r="Q24" s="4" t="s">
        <v>43</v>
      </c>
      <c r="R24" s="17" t="s">
        <v>43</v>
      </c>
      <c r="S24" s="21" t="s">
        <v>36</v>
      </c>
      <c r="T24" s="18" t="str">
        <f t="shared" si="1"/>
        <v>higher</v>
      </c>
      <c r="U24" s="18" t="str">
        <f t="shared" si="2"/>
        <v>higher</v>
      </c>
      <c r="V24" s="18" t="str">
        <f t="shared" si="3"/>
        <v>lower</v>
      </c>
      <c r="W24" s="18" t="str">
        <f t="shared" si="6"/>
        <v>stronger</v>
      </c>
      <c r="X24" s="18" t="str">
        <f t="shared" si="7"/>
        <v>stronger</v>
      </c>
      <c r="Y24" s="18" t="str">
        <f t="shared" si="8"/>
        <v>weak</v>
      </c>
      <c r="Z24" s="16" t="s">
        <v>37</v>
      </c>
      <c r="AA24" s="16"/>
      <c r="AB24" s="19" t="s">
        <v>38</v>
      </c>
      <c r="AC24" s="4"/>
      <c r="AD24" s="4"/>
      <c r="AE24" s="4"/>
      <c r="AF24" s="20" t="s">
        <v>43</v>
      </c>
      <c r="AG24" s="4"/>
      <c r="AH24" s="9" t="s">
        <v>42</v>
      </c>
      <c r="AI24" s="18" t="str">
        <f t="shared" si="5"/>
        <v>Y</v>
      </c>
      <c r="AJ24" s="4"/>
    </row>
    <row r="25" spans="1:36" ht="12.75" x14ac:dyDescent="0.2">
      <c r="A25" s="2" t="s">
        <v>79</v>
      </c>
      <c r="B25" s="2" t="s">
        <v>80</v>
      </c>
      <c r="C25" s="2" t="s">
        <v>33</v>
      </c>
      <c r="D25" s="10">
        <v>2020</v>
      </c>
      <c r="E25" s="10">
        <v>5167</v>
      </c>
      <c r="F25" s="102">
        <v>5635.0954122133298</v>
      </c>
      <c r="G25" s="12">
        <v>2030</v>
      </c>
      <c r="H25" s="11">
        <v>3279</v>
      </c>
      <c r="I25" s="11">
        <v>4164</v>
      </c>
      <c r="J25" s="13">
        <v>5771</v>
      </c>
      <c r="K25" s="14">
        <f t="shared" si="0"/>
        <v>0.11598081362620816</v>
      </c>
      <c r="L25" s="13">
        <v>2050</v>
      </c>
      <c r="M25" s="13">
        <v>0</v>
      </c>
      <c r="N25" s="15" t="s">
        <v>41</v>
      </c>
      <c r="O25" s="16" t="s">
        <v>35</v>
      </c>
      <c r="P25" s="16" t="str">
        <f t="array" ref="P25">INDEX(CAT_NZ_Nov22!$Q$16:$Q$54,MATCH($B25,CAT_NZ_Nov22!$C$16:$C$53,0))</f>
        <v>Credible</v>
      </c>
      <c r="Q25" s="4" t="s">
        <v>43</v>
      </c>
      <c r="R25" s="17" t="s">
        <v>43</v>
      </c>
      <c r="S25" s="21" t="s">
        <v>36</v>
      </c>
      <c r="T25" s="18" t="str">
        <f t="shared" si="1"/>
        <v>lower</v>
      </c>
      <c r="U25" s="18" t="str">
        <f t="shared" si="2"/>
        <v>lower</v>
      </c>
      <c r="V25" s="18" t="str">
        <f t="shared" si="3"/>
        <v>lower</v>
      </c>
      <c r="W25" s="18" t="str">
        <f t="shared" si="6"/>
        <v>stronger</v>
      </c>
      <c r="X25" s="18" t="str">
        <f t="shared" si="7"/>
        <v>stronger</v>
      </c>
      <c r="Y25" s="18" t="str">
        <f t="shared" si="8"/>
        <v>weak</v>
      </c>
      <c r="Z25" s="16" t="s">
        <v>37</v>
      </c>
      <c r="AA25" s="16"/>
      <c r="AB25" s="19" t="s">
        <v>38</v>
      </c>
      <c r="AC25" s="4"/>
      <c r="AD25" s="4"/>
      <c r="AE25" s="4"/>
      <c r="AF25" s="20" t="s">
        <v>43</v>
      </c>
      <c r="AG25" s="4"/>
      <c r="AH25" s="9" t="s">
        <v>42</v>
      </c>
      <c r="AI25" s="18" t="str">
        <f t="shared" si="5"/>
        <v>Y</v>
      </c>
      <c r="AJ25" s="4"/>
    </row>
    <row r="26" spans="1:36" ht="12.75" x14ac:dyDescent="0.2">
      <c r="A26" s="2" t="s">
        <v>81</v>
      </c>
      <c r="B26" s="2" t="s">
        <v>82</v>
      </c>
      <c r="C26" s="2" t="s">
        <v>33</v>
      </c>
      <c r="D26" s="10">
        <v>2018</v>
      </c>
      <c r="E26" s="10">
        <v>403</v>
      </c>
      <c r="F26" s="102">
        <v>462.96851493899999</v>
      </c>
      <c r="G26" s="12">
        <v>2030</v>
      </c>
      <c r="H26" s="23">
        <v>383.7</v>
      </c>
      <c r="I26" s="23">
        <v>393.7</v>
      </c>
      <c r="J26" s="13">
        <v>396.11</v>
      </c>
      <c r="K26" s="14">
        <f t="shared" si="0"/>
        <v>7.9606931355878218E-3</v>
      </c>
      <c r="L26" s="13">
        <v>2050</v>
      </c>
      <c r="M26" s="13">
        <v>0</v>
      </c>
      <c r="N26" s="15" t="s">
        <v>34</v>
      </c>
      <c r="O26" s="16" t="s">
        <v>35</v>
      </c>
      <c r="P26" s="24" t="s">
        <v>83</v>
      </c>
      <c r="Q26" s="4" t="s">
        <v>36</v>
      </c>
      <c r="R26" s="4" t="s">
        <v>36</v>
      </c>
      <c r="S26" s="17" t="s">
        <v>36</v>
      </c>
      <c r="T26" s="18" t="str">
        <f t="shared" si="1"/>
        <v>much lower</v>
      </c>
      <c r="U26" s="18" t="str">
        <f t="shared" si="2"/>
        <v>much lower</v>
      </c>
      <c r="V26" s="18" t="str">
        <f t="shared" si="3"/>
        <v>much lower</v>
      </c>
      <c r="W26" s="18" t="str">
        <f t="shared" si="6"/>
        <v>weak</v>
      </c>
      <c r="X26" s="18" t="str">
        <f t="shared" si="7"/>
        <v>weak</v>
      </c>
      <c r="Y26" s="18" t="str">
        <f t="shared" si="8"/>
        <v>weak</v>
      </c>
      <c r="Z26" s="16" t="s">
        <v>84</v>
      </c>
      <c r="AA26" s="16" t="s">
        <v>85</v>
      </c>
      <c r="AB26" s="25" t="s">
        <v>86</v>
      </c>
      <c r="AC26" s="4"/>
      <c r="AD26" s="4"/>
      <c r="AE26" s="4"/>
      <c r="AF26" s="4"/>
      <c r="AG26" s="4"/>
      <c r="AH26" s="9" t="s">
        <v>35</v>
      </c>
      <c r="AI26" s="18" t="str">
        <f t="shared" si="5"/>
        <v>N</v>
      </c>
      <c r="AJ26" s="4"/>
    </row>
    <row r="27" spans="1:36" s="94" customFormat="1" ht="12.75" x14ac:dyDescent="0.2">
      <c r="A27" s="95" t="s">
        <v>253</v>
      </c>
      <c r="B27" s="95" t="s">
        <v>252</v>
      </c>
      <c r="C27" s="95" t="s">
        <v>33</v>
      </c>
      <c r="D27" s="10"/>
      <c r="E27" s="10"/>
      <c r="F27" s="102">
        <v>21.257215436333301</v>
      </c>
      <c r="G27" s="12"/>
      <c r="H27" s="23"/>
      <c r="I27" s="23"/>
      <c r="J27" s="13"/>
      <c r="K27" s="14"/>
      <c r="L27" s="104">
        <v>2050</v>
      </c>
      <c r="M27" s="104">
        <v>0</v>
      </c>
      <c r="N27" s="104" t="s">
        <v>41</v>
      </c>
      <c r="O27" s="104" t="s">
        <v>35</v>
      </c>
      <c r="P27" s="24"/>
      <c r="Q27" s="4"/>
      <c r="R27" s="4"/>
      <c r="S27" s="17"/>
      <c r="T27" s="18"/>
      <c r="U27" s="18"/>
      <c r="V27" s="18"/>
      <c r="W27" s="106" t="s">
        <v>242</v>
      </c>
      <c r="X27" s="18"/>
      <c r="Y27" s="18"/>
      <c r="Z27" s="16"/>
      <c r="AA27" s="16"/>
      <c r="AB27" s="25"/>
      <c r="AC27" s="4"/>
      <c r="AD27" s="4"/>
      <c r="AE27" s="4"/>
      <c r="AF27" s="4"/>
      <c r="AG27" s="4"/>
      <c r="AH27" s="9"/>
      <c r="AI27" s="18"/>
      <c r="AJ27" s="4"/>
    </row>
    <row r="28" spans="1:36" ht="12.75" x14ac:dyDescent="0.2">
      <c r="A28" s="2" t="s">
        <v>87</v>
      </c>
      <c r="B28" s="2" t="s">
        <v>88</v>
      </c>
      <c r="C28" s="2" t="s">
        <v>33</v>
      </c>
      <c r="D28" s="10">
        <v>2018</v>
      </c>
      <c r="E28" s="10">
        <v>360</v>
      </c>
      <c r="F28" s="102">
        <v>433.78230115333298</v>
      </c>
      <c r="G28" s="12">
        <v>2030</v>
      </c>
      <c r="H28" s="27">
        <v>334</v>
      </c>
      <c r="I28" s="26">
        <v>375</v>
      </c>
      <c r="J28" s="13">
        <v>354.33</v>
      </c>
      <c r="K28" s="14">
        <f t="shared" si="0"/>
        <v>7.1210330431769773E-3</v>
      </c>
      <c r="L28" s="105">
        <v>2070</v>
      </c>
      <c r="M28" s="13">
        <v>0</v>
      </c>
      <c r="N28" s="15" t="s">
        <v>41</v>
      </c>
      <c r="O28" s="16" t="s">
        <v>42</v>
      </c>
      <c r="P28" s="16" t="str">
        <f t="array" ref="P28">INDEX(CAT_NZ_Nov22!$Q$16:$Q$54,MATCH($B28,CAT_NZ_Nov22!$C$16:$C$53,0))</f>
        <v>Credible</v>
      </c>
      <c r="Q28" s="4" t="s">
        <v>36</v>
      </c>
      <c r="R28" s="4" t="s">
        <v>36</v>
      </c>
      <c r="S28" s="17" t="s">
        <v>36</v>
      </c>
      <c r="T28" s="18" t="str">
        <f t="shared" si="1"/>
        <v>lower</v>
      </c>
      <c r="U28" s="18" t="str">
        <f t="shared" si="2"/>
        <v>lower</v>
      </c>
      <c r="V28" s="18" t="str">
        <f t="shared" si="3"/>
        <v>lower</v>
      </c>
      <c r="W28" s="18" t="str">
        <f t="shared" si="6"/>
        <v>weak</v>
      </c>
      <c r="X28" s="18" t="str">
        <f t="shared" si="7"/>
        <v>weak</v>
      </c>
      <c r="Y28" s="18" t="str">
        <f t="shared" si="8"/>
        <v>weak</v>
      </c>
      <c r="Z28" s="16" t="s">
        <v>37</v>
      </c>
      <c r="AA28" s="16"/>
      <c r="AB28" s="28" t="s">
        <v>89</v>
      </c>
      <c r="AC28" s="4"/>
      <c r="AD28" s="4"/>
      <c r="AE28" s="4"/>
      <c r="AF28" s="4"/>
      <c r="AG28" s="4"/>
      <c r="AH28" s="9" t="s">
        <v>35</v>
      </c>
      <c r="AI28" s="18" t="str">
        <f t="shared" si="5"/>
        <v>N</v>
      </c>
      <c r="AJ28" s="4"/>
    </row>
    <row r="29" spans="1:36" s="94" customFormat="1" ht="12.75" x14ac:dyDescent="0.2">
      <c r="A29" s="95" t="s">
        <v>255</v>
      </c>
      <c r="B29" s="95" t="s">
        <v>254</v>
      </c>
      <c r="C29" s="95" t="s">
        <v>33</v>
      </c>
      <c r="D29" s="10"/>
      <c r="E29" s="10"/>
      <c r="F29" s="102">
        <v>105.534552053299</v>
      </c>
      <c r="G29" s="12"/>
      <c r="H29" s="27"/>
      <c r="I29" s="26"/>
      <c r="J29" s="13"/>
      <c r="K29" s="14"/>
      <c r="L29" s="104">
        <v>2050</v>
      </c>
      <c r="M29" s="104">
        <v>0</v>
      </c>
      <c r="N29" s="104" t="s">
        <v>74</v>
      </c>
      <c r="O29" s="104" t="s">
        <v>35</v>
      </c>
      <c r="P29" s="16"/>
      <c r="Q29" s="4"/>
      <c r="R29" s="4"/>
      <c r="S29" s="17"/>
      <c r="T29" s="18"/>
      <c r="U29" s="18"/>
      <c r="V29" s="18"/>
      <c r="W29" s="106" t="s">
        <v>242</v>
      </c>
      <c r="X29" s="18"/>
      <c r="Y29" s="18"/>
      <c r="Z29" s="16"/>
      <c r="AA29" s="16"/>
      <c r="AB29" s="28"/>
      <c r="AC29" s="4"/>
      <c r="AD29" s="4"/>
      <c r="AE29" s="4"/>
      <c r="AF29" s="4"/>
      <c r="AG29" s="4"/>
      <c r="AH29" s="9"/>
      <c r="AI29" s="18"/>
      <c r="AJ29" s="4"/>
    </row>
    <row r="30" spans="1:36" s="94" customFormat="1" ht="12.75" x14ac:dyDescent="0.2">
      <c r="A30" s="95" t="s">
        <v>208</v>
      </c>
      <c r="B30" s="95" t="s">
        <v>209</v>
      </c>
      <c r="C30" s="95" t="s">
        <v>33</v>
      </c>
      <c r="D30" s="10"/>
      <c r="E30" s="10"/>
      <c r="F30" s="102">
        <v>124.585301438333</v>
      </c>
      <c r="G30" s="12"/>
      <c r="H30" s="27"/>
      <c r="I30" s="26"/>
      <c r="J30" s="13"/>
      <c r="K30" s="14"/>
      <c r="L30" s="104">
        <v>2050</v>
      </c>
      <c r="M30" s="104">
        <v>0</v>
      </c>
      <c r="N30" s="104" t="s">
        <v>74</v>
      </c>
      <c r="O30" s="104" t="s">
        <v>35</v>
      </c>
      <c r="P30" s="16"/>
      <c r="Q30" s="4"/>
      <c r="R30" s="4"/>
      <c r="S30" s="17"/>
      <c r="T30" s="18"/>
      <c r="U30" s="18"/>
      <c r="V30" s="18"/>
      <c r="W30" s="106" t="s">
        <v>242</v>
      </c>
      <c r="X30" s="18"/>
      <c r="Y30" s="18"/>
      <c r="Z30" s="16"/>
      <c r="AA30" s="16"/>
      <c r="AB30" s="28"/>
      <c r="AC30" s="4"/>
      <c r="AD30" s="4"/>
      <c r="AE30" s="4"/>
      <c r="AF30" s="4"/>
      <c r="AG30" s="4"/>
      <c r="AH30" s="9"/>
      <c r="AI30" s="18"/>
      <c r="AJ30" s="4"/>
    </row>
    <row r="31" spans="1:36" ht="12.75" x14ac:dyDescent="0.2">
      <c r="A31" s="2" t="s">
        <v>90</v>
      </c>
      <c r="B31" s="2" t="s">
        <v>91</v>
      </c>
      <c r="C31" s="2" t="s">
        <v>33</v>
      </c>
      <c r="D31" s="10">
        <v>2018</v>
      </c>
      <c r="E31" s="10">
        <v>360</v>
      </c>
      <c r="F31" s="102">
        <v>424.60294186599998</v>
      </c>
      <c r="G31" s="12">
        <v>2030</v>
      </c>
      <c r="H31" s="30">
        <v>444</v>
      </c>
      <c r="I31" s="29">
        <v>444</v>
      </c>
      <c r="J31" s="13">
        <v>437.18</v>
      </c>
      <c r="K31" s="14">
        <f t="shared" si="0"/>
        <v>8.7860842316939327E-3</v>
      </c>
      <c r="L31" s="13">
        <v>2050</v>
      </c>
      <c r="M31" s="13">
        <v>0</v>
      </c>
      <c r="N31" s="15" t="s">
        <v>74</v>
      </c>
      <c r="O31" s="16" t="s">
        <v>35</v>
      </c>
      <c r="P31" s="16" t="str">
        <f t="array" ref="P31">INDEX(CAT_NZ_Nov22!$Q$16:$Q$54,MATCH($B31,CAT_NZ_Nov22!$C$16:$C$53,0))</f>
        <v>Credible</v>
      </c>
      <c r="Q31" s="4" t="s">
        <v>36</v>
      </c>
      <c r="R31" s="4" t="s">
        <v>36</v>
      </c>
      <c r="S31" s="17" t="s">
        <v>36</v>
      </c>
      <c r="T31" s="18" t="str">
        <f t="shared" si="1"/>
        <v>lower</v>
      </c>
      <c r="U31" s="18" t="str">
        <f t="shared" si="2"/>
        <v>lower</v>
      </c>
      <c r="V31" s="18" t="str">
        <f t="shared" si="3"/>
        <v>lower</v>
      </c>
      <c r="W31" s="18" t="str">
        <f t="shared" si="6"/>
        <v>weak</v>
      </c>
      <c r="X31" s="18" t="str">
        <f t="shared" si="7"/>
        <v>weak</v>
      </c>
      <c r="Y31" s="18" t="str">
        <f t="shared" si="8"/>
        <v>weak</v>
      </c>
      <c r="Z31" s="16" t="s">
        <v>37</v>
      </c>
      <c r="AA31" s="16"/>
      <c r="AB31" s="31" t="s">
        <v>92</v>
      </c>
      <c r="AC31" s="4"/>
      <c r="AD31" s="4"/>
      <c r="AE31" s="4"/>
      <c r="AF31" s="4"/>
      <c r="AG31" s="4"/>
      <c r="AH31" s="9" t="s">
        <v>35</v>
      </c>
      <c r="AI31" s="18" t="str">
        <f t="shared" si="5"/>
        <v>N</v>
      </c>
      <c r="AJ31" s="4"/>
    </row>
    <row r="32" spans="1:36" ht="12.75" x14ac:dyDescent="0.2">
      <c r="A32" s="2" t="s">
        <v>93</v>
      </c>
      <c r="B32" s="2" t="s">
        <v>94</v>
      </c>
      <c r="C32" s="2" t="s">
        <v>33</v>
      </c>
      <c r="D32" s="10">
        <v>2018</v>
      </c>
      <c r="E32" s="10">
        <v>351</v>
      </c>
      <c r="F32" s="102">
        <v>345.136570871</v>
      </c>
      <c r="G32" s="12">
        <v>2030</v>
      </c>
      <c r="H32" s="30">
        <v>324.44</v>
      </c>
      <c r="I32" s="32">
        <v>443</v>
      </c>
      <c r="J32" s="13">
        <v>271.68</v>
      </c>
      <c r="K32" s="14">
        <f t="shared" si="0"/>
        <v>5.4600012902388207E-3</v>
      </c>
      <c r="L32" s="13">
        <v>2060</v>
      </c>
      <c r="M32" s="13">
        <v>0</v>
      </c>
      <c r="N32" s="104" t="s">
        <v>41</v>
      </c>
      <c r="O32" s="16" t="s">
        <v>35</v>
      </c>
      <c r="P32" s="16" t="str">
        <f t="array" ref="P32">INDEX(CAT_NZ_Nov22!$Q$16:$Q$54,MATCH($B32,CAT_NZ_Nov22!$C$16:$C$53,0))</f>
        <v>Credible</v>
      </c>
      <c r="Q32" s="4" t="s">
        <v>36</v>
      </c>
      <c r="R32" s="4" t="s">
        <v>36</v>
      </c>
      <c r="S32" s="17" t="s">
        <v>36</v>
      </c>
      <c r="T32" s="18" t="str">
        <f t="shared" si="1"/>
        <v>lower</v>
      </c>
      <c r="U32" s="18" t="str">
        <f t="shared" si="2"/>
        <v>lower</v>
      </c>
      <c r="V32" s="18" t="str">
        <f t="shared" si="3"/>
        <v>lower</v>
      </c>
      <c r="W32" s="18" t="str">
        <f t="shared" si="6"/>
        <v>weak</v>
      </c>
      <c r="X32" s="18" t="str">
        <f t="shared" si="7"/>
        <v>weak</v>
      </c>
      <c r="Y32" s="18" t="str">
        <f t="shared" si="8"/>
        <v>weak</v>
      </c>
      <c r="Z32" s="16" t="s">
        <v>37</v>
      </c>
      <c r="AA32" s="16"/>
      <c r="AB32" s="33" t="s">
        <v>95</v>
      </c>
      <c r="AC32" s="4"/>
      <c r="AD32" s="4"/>
      <c r="AE32" s="4"/>
      <c r="AF32" s="4"/>
      <c r="AG32" s="4"/>
      <c r="AH32" s="9" t="s">
        <v>35</v>
      </c>
      <c r="AI32" s="18" t="str">
        <f t="shared" si="5"/>
        <v>N</v>
      </c>
      <c r="AJ32" s="4"/>
    </row>
    <row r="33" spans="1:36" ht="12.75" x14ac:dyDescent="0.2">
      <c r="A33" s="2" t="s">
        <v>96</v>
      </c>
      <c r="B33" s="2" t="s">
        <v>97</v>
      </c>
      <c r="C33" s="2" t="s">
        <v>33</v>
      </c>
      <c r="D33" s="10">
        <v>2018</v>
      </c>
      <c r="E33" s="10">
        <v>341</v>
      </c>
      <c r="F33" s="102">
        <v>290.02069591133301</v>
      </c>
      <c r="G33" s="12">
        <v>2030</v>
      </c>
      <c r="H33" s="30">
        <v>309</v>
      </c>
      <c r="I33" s="32">
        <v>426</v>
      </c>
      <c r="J33" s="13">
        <v>221.29</v>
      </c>
      <c r="K33" s="14">
        <f t="shared" si="0"/>
        <v>4.4473044961607349E-3</v>
      </c>
      <c r="L33" s="13">
        <v>2060</v>
      </c>
      <c r="M33" s="13">
        <v>0</v>
      </c>
      <c r="N33" s="15" t="s">
        <v>74</v>
      </c>
      <c r="O33" s="16" t="s">
        <v>35</v>
      </c>
      <c r="P33" s="24" t="s">
        <v>83</v>
      </c>
      <c r="Q33" s="4" t="s">
        <v>36</v>
      </c>
      <c r="R33" s="4" t="s">
        <v>36</v>
      </c>
      <c r="S33" s="17" t="s">
        <v>36</v>
      </c>
      <c r="T33" s="18" t="str">
        <f t="shared" si="1"/>
        <v>much lower</v>
      </c>
      <c r="U33" s="18" t="str">
        <f t="shared" si="2"/>
        <v>much lower</v>
      </c>
      <c r="V33" s="18" t="str">
        <f t="shared" si="3"/>
        <v>much lower</v>
      </c>
      <c r="W33" s="18" t="str">
        <f t="shared" si="6"/>
        <v>weak</v>
      </c>
      <c r="X33" s="18" t="str">
        <f t="shared" si="7"/>
        <v>weak</v>
      </c>
      <c r="Y33" s="18" t="str">
        <f t="shared" si="8"/>
        <v>weak</v>
      </c>
      <c r="Z33" s="16" t="s">
        <v>98</v>
      </c>
      <c r="AA33" s="16" t="s">
        <v>99</v>
      </c>
      <c r="AB33" s="34" t="s">
        <v>95</v>
      </c>
      <c r="AC33" s="4"/>
      <c r="AD33" s="4"/>
      <c r="AE33" s="4"/>
      <c r="AF33" s="4"/>
      <c r="AG33" s="4"/>
      <c r="AH33" s="9" t="s">
        <v>35</v>
      </c>
      <c r="AI33" s="18" t="str">
        <f t="shared" si="5"/>
        <v>N</v>
      </c>
      <c r="AJ33" s="4"/>
    </row>
    <row r="34" spans="1:36" ht="12.75" x14ac:dyDescent="0.2">
      <c r="A34" s="2" t="s">
        <v>100</v>
      </c>
      <c r="B34" s="2" t="s">
        <v>101</v>
      </c>
      <c r="C34" s="2" t="s">
        <v>33</v>
      </c>
      <c r="D34" s="10">
        <v>2018</v>
      </c>
      <c r="E34" s="10">
        <v>334</v>
      </c>
      <c r="F34" s="102">
        <v>633.68712365766703</v>
      </c>
      <c r="G34" s="12">
        <v>2030</v>
      </c>
      <c r="H34" s="30">
        <v>844</v>
      </c>
      <c r="I34" s="29">
        <v>459</v>
      </c>
      <c r="J34" s="13">
        <v>438.11</v>
      </c>
      <c r="K34" s="14">
        <f t="shared" si="0"/>
        <v>8.8047746071353416E-3</v>
      </c>
      <c r="L34" s="13">
        <v>2050</v>
      </c>
      <c r="M34" s="13">
        <v>0</v>
      </c>
      <c r="N34" s="15" t="s">
        <v>34</v>
      </c>
      <c r="O34" s="16" t="s">
        <v>42</v>
      </c>
      <c r="P34" s="16" t="str">
        <f t="array" ref="P34">INDEX(CAT_NZ_Nov22!$Q$16:$Q$54,MATCH($B34,CAT_NZ_Nov22!$C$16:$C$53,0))</f>
        <v>Credible</v>
      </c>
      <c r="Q34" s="4" t="s">
        <v>36</v>
      </c>
      <c r="R34" s="4" t="s">
        <v>36</v>
      </c>
      <c r="S34" s="17" t="s">
        <v>36</v>
      </c>
      <c r="T34" s="18" t="str">
        <f t="shared" si="1"/>
        <v>lower</v>
      </c>
      <c r="U34" s="18" t="str">
        <f t="shared" si="2"/>
        <v>lower</v>
      </c>
      <c r="V34" s="18" t="str">
        <f t="shared" si="3"/>
        <v>lower</v>
      </c>
      <c r="W34" s="18" t="str">
        <f t="shared" si="6"/>
        <v>weak</v>
      </c>
      <c r="X34" s="18" t="str">
        <f t="shared" si="7"/>
        <v>weak</v>
      </c>
      <c r="Y34" s="18" t="str">
        <f t="shared" si="8"/>
        <v>weak</v>
      </c>
      <c r="Z34" s="16" t="s">
        <v>37</v>
      </c>
      <c r="AA34" s="16"/>
      <c r="AB34" s="31" t="s">
        <v>92</v>
      </c>
      <c r="AC34" s="4"/>
      <c r="AD34" s="4"/>
      <c r="AE34" s="4"/>
      <c r="AF34" s="4"/>
      <c r="AG34" s="4"/>
      <c r="AH34" s="9" t="s">
        <v>35</v>
      </c>
      <c r="AI34" s="18" t="str">
        <f t="shared" si="5"/>
        <v>N</v>
      </c>
      <c r="AJ34" s="4"/>
    </row>
    <row r="35" spans="1:36" ht="12.75" x14ac:dyDescent="0.2">
      <c r="A35" s="2" t="s">
        <v>102</v>
      </c>
      <c r="B35" s="2" t="s">
        <v>103</v>
      </c>
      <c r="C35" s="2" t="s">
        <v>33</v>
      </c>
      <c r="D35" s="10">
        <v>2018</v>
      </c>
      <c r="E35" s="35">
        <v>282</v>
      </c>
      <c r="F35" s="102">
        <v>255.60168192333299</v>
      </c>
      <c r="G35" s="12">
        <v>2030</v>
      </c>
      <c r="H35" s="30">
        <v>164</v>
      </c>
      <c r="I35" s="29">
        <v>307</v>
      </c>
      <c r="J35" s="13">
        <v>270.52999999999997</v>
      </c>
      <c r="K35" s="14">
        <f t="shared" si="0"/>
        <v>5.4368895356607331E-3</v>
      </c>
      <c r="L35" s="13">
        <v>2050</v>
      </c>
      <c r="M35" s="13">
        <v>0</v>
      </c>
      <c r="N35" s="15" t="s">
        <v>41</v>
      </c>
      <c r="O35" s="16" t="s">
        <v>42</v>
      </c>
      <c r="P35" s="16" t="str">
        <f t="array" ref="P35">INDEX(CAT_NZ_Nov22!$Q$16:$Q$54,MATCH($B35,CAT_NZ_Nov22!$C$16:$C$53,0))</f>
        <v>Credible</v>
      </c>
      <c r="Q35" s="4" t="s">
        <v>36</v>
      </c>
      <c r="R35" s="4" t="s">
        <v>36</v>
      </c>
      <c r="S35" s="17" t="s">
        <v>36</v>
      </c>
      <c r="T35" s="18" t="str">
        <f t="shared" si="1"/>
        <v>lower</v>
      </c>
      <c r="U35" s="18" t="str">
        <f t="shared" si="2"/>
        <v>lower</v>
      </c>
      <c r="V35" s="18" t="str">
        <f t="shared" si="3"/>
        <v>lower</v>
      </c>
      <c r="W35" s="18" t="str">
        <f t="shared" si="6"/>
        <v>weak</v>
      </c>
      <c r="X35" s="18" t="str">
        <f t="shared" si="7"/>
        <v>weak</v>
      </c>
      <c r="Y35" s="18" t="str">
        <f t="shared" si="8"/>
        <v>weak</v>
      </c>
      <c r="Z35" s="16" t="s">
        <v>37</v>
      </c>
      <c r="AA35" s="16"/>
      <c r="AB35" s="31" t="s">
        <v>92</v>
      </c>
      <c r="AC35" s="4"/>
      <c r="AD35" s="4"/>
      <c r="AE35" s="4"/>
      <c r="AF35" s="4"/>
      <c r="AG35" s="4"/>
      <c r="AH35" s="9" t="s">
        <v>42</v>
      </c>
      <c r="AI35" s="18" t="str">
        <f t="shared" si="5"/>
        <v>N</v>
      </c>
      <c r="AJ35" s="4"/>
    </row>
    <row r="36" spans="1:36" ht="12.75" x14ac:dyDescent="0.2">
      <c r="A36" s="2" t="s">
        <v>104</v>
      </c>
      <c r="B36" s="2" t="s">
        <v>105</v>
      </c>
      <c r="C36" s="2" t="s">
        <v>33</v>
      </c>
      <c r="D36" s="10">
        <v>2018</v>
      </c>
      <c r="E36" s="10">
        <v>215</v>
      </c>
      <c r="F36" s="103">
        <v>269.39445939893301</v>
      </c>
      <c r="G36" s="12">
        <v>2030</v>
      </c>
      <c r="H36" s="30">
        <v>208</v>
      </c>
      <c r="I36" s="29">
        <v>250</v>
      </c>
      <c r="J36" s="13">
        <v>243.55</v>
      </c>
      <c r="K36" s="14">
        <f t="shared" si="0"/>
        <v>4.8946676760809214E-3</v>
      </c>
      <c r="L36" s="104">
        <v>2050</v>
      </c>
      <c r="M36" s="104">
        <v>0</v>
      </c>
      <c r="N36" s="104" t="s">
        <v>41</v>
      </c>
      <c r="O36" s="104" t="s">
        <v>35</v>
      </c>
      <c r="P36" s="16" t="str">
        <f t="array" ref="P36">INDEX(CAT_NZ_Nov22!$Q$16:$Q$54,MATCH($B36,CAT_NZ_Nov22!$C$16:$C$53,0))</f>
        <v>None</v>
      </c>
      <c r="Q36" s="4" t="s">
        <v>36</v>
      </c>
      <c r="R36" s="4" t="s">
        <v>36</v>
      </c>
      <c r="S36" s="17" t="s">
        <v>36</v>
      </c>
      <c r="T36" s="18" t="str">
        <f t="shared" si="1"/>
        <v>much lower</v>
      </c>
      <c r="U36" s="18" t="str">
        <f t="shared" si="2"/>
        <v>much lower</v>
      </c>
      <c r="V36" s="18" t="str">
        <f t="shared" si="3"/>
        <v>much lower</v>
      </c>
      <c r="W36" s="18" t="str">
        <f t="shared" si="6"/>
        <v>weak</v>
      </c>
      <c r="X36" s="18" t="str">
        <f t="shared" si="7"/>
        <v>weak</v>
      </c>
      <c r="Y36" s="18" t="str">
        <f t="shared" si="8"/>
        <v>weak</v>
      </c>
      <c r="Z36" s="16" t="s">
        <v>37</v>
      </c>
      <c r="AA36" s="16"/>
      <c r="AB36" s="31" t="s">
        <v>92</v>
      </c>
      <c r="AC36" s="4"/>
      <c r="AD36" s="4"/>
      <c r="AE36" s="4"/>
      <c r="AF36" s="4"/>
      <c r="AG36" s="4"/>
      <c r="AH36" s="9" t="s">
        <v>35</v>
      </c>
      <c r="AI36" s="18" t="str">
        <f t="shared" si="5"/>
        <v>N</v>
      </c>
      <c r="AJ36" s="4"/>
    </row>
    <row r="37" spans="1:36" ht="12.75" x14ac:dyDescent="0.2">
      <c r="A37" s="2" t="s">
        <v>106</v>
      </c>
      <c r="B37" s="2" t="s">
        <v>107</v>
      </c>
      <c r="C37" s="2" t="s">
        <v>33</v>
      </c>
      <c r="D37" s="10">
        <v>2018</v>
      </c>
      <c r="E37" s="10">
        <v>109</v>
      </c>
      <c r="F37" s="102">
        <v>119.119133939333</v>
      </c>
      <c r="G37" s="12">
        <v>2030</v>
      </c>
      <c r="H37" s="23">
        <v>81</v>
      </c>
      <c r="I37" s="23">
        <v>134</v>
      </c>
      <c r="J37" s="13">
        <v>55.33</v>
      </c>
      <c r="K37" s="14">
        <f t="shared" si="0"/>
        <v>1.1119768528743887E-3</v>
      </c>
      <c r="L37" s="13">
        <v>2050</v>
      </c>
      <c r="M37" s="13">
        <v>0</v>
      </c>
      <c r="N37" s="15" t="s">
        <v>41</v>
      </c>
      <c r="O37" s="16" t="s">
        <v>42</v>
      </c>
      <c r="P37" s="16" t="str">
        <f t="array" ref="P37">INDEX(CAT_NZ_Nov22!$Q$16:$Q$54,MATCH($B37,CAT_NZ_Nov22!$C$16:$C$53,0))</f>
        <v>Credible</v>
      </c>
      <c r="Q37" s="4" t="s">
        <v>36</v>
      </c>
      <c r="R37" s="4" t="s">
        <v>36</v>
      </c>
      <c r="S37" s="17" t="s">
        <v>36</v>
      </c>
      <c r="T37" s="18" t="str">
        <f t="shared" si="1"/>
        <v>lower</v>
      </c>
      <c r="U37" s="18" t="str">
        <f t="shared" si="2"/>
        <v>lower</v>
      </c>
      <c r="V37" s="18" t="str">
        <f t="shared" si="3"/>
        <v>lower</v>
      </c>
      <c r="W37" s="18" t="str">
        <f t="shared" si="6"/>
        <v>weak</v>
      </c>
      <c r="X37" s="18" t="str">
        <f t="shared" si="7"/>
        <v>weak</v>
      </c>
      <c r="Y37" s="18" t="str">
        <f t="shared" si="8"/>
        <v>weak</v>
      </c>
      <c r="Z37" s="16" t="s">
        <v>37</v>
      </c>
      <c r="AA37" s="16" t="s">
        <v>85</v>
      </c>
      <c r="AB37" s="25" t="s">
        <v>86</v>
      </c>
      <c r="AC37" s="4"/>
      <c r="AD37" s="4"/>
      <c r="AE37" s="4"/>
      <c r="AF37" s="4"/>
      <c r="AG37" s="4"/>
      <c r="AH37" s="9" t="s">
        <v>42</v>
      </c>
      <c r="AI37" s="18" t="str">
        <f t="shared" si="5"/>
        <v>N</v>
      </c>
      <c r="AJ37" s="4"/>
    </row>
    <row r="38" spans="1:36" ht="12.75" x14ac:dyDescent="0.2">
      <c r="A38" s="2" t="s">
        <v>108</v>
      </c>
      <c r="B38" s="2" t="s">
        <v>109</v>
      </c>
      <c r="C38" s="2" t="s">
        <v>33</v>
      </c>
      <c r="D38" s="10">
        <v>2019</v>
      </c>
      <c r="E38" s="10">
        <v>353</v>
      </c>
      <c r="F38" s="29">
        <v>332</v>
      </c>
      <c r="G38" s="12">
        <v>2030</v>
      </c>
      <c r="H38" s="30">
        <v>515</v>
      </c>
      <c r="I38" s="29">
        <v>432</v>
      </c>
      <c r="J38" s="13">
        <v>351.96</v>
      </c>
      <c r="K38" s="14">
        <f t="shared" si="0"/>
        <v>7.0734027315682239E-3</v>
      </c>
      <c r="L38" s="13" t="s">
        <v>110</v>
      </c>
      <c r="M38" s="13" t="s">
        <v>110</v>
      </c>
      <c r="N38" s="15" t="s">
        <v>63</v>
      </c>
      <c r="O38" s="16" t="s">
        <v>64</v>
      </c>
      <c r="P38" s="16" t="str">
        <f t="array" ref="P38">INDEX(CAT_NZ_Nov22!$Q$16:$Q$54,MATCH($B38,CAT_NZ_Nov22!$C$16:$C$53,0))</f>
        <v>None</v>
      </c>
      <c r="Q38" s="4" t="s">
        <v>36</v>
      </c>
      <c r="R38" s="4" t="s">
        <v>36</v>
      </c>
      <c r="S38" s="17" t="s">
        <v>36</v>
      </c>
      <c r="T38" s="18" t="str">
        <f t="shared" si="1"/>
        <v>much lower</v>
      </c>
      <c r="U38" s="18" t="str">
        <f t="shared" si="2"/>
        <v>much lower</v>
      </c>
      <c r="V38" s="18" t="str">
        <f t="shared" si="3"/>
        <v>much lower</v>
      </c>
      <c r="W38" s="18" t="str">
        <f t="shared" si="6"/>
        <v>weak</v>
      </c>
      <c r="X38" s="18" t="str">
        <f t="shared" si="7"/>
        <v>weak</v>
      </c>
      <c r="Y38" s="18" t="str">
        <f t="shared" si="8"/>
        <v>weak</v>
      </c>
      <c r="Z38" s="16" t="s">
        <v>37</v>
      </c>
      <c r="AA38" s="16"/>
      <c r="AB38" s="31" t="s">
        <v>92</v>
      </c>
      <c r="AC38" s="4"/>
      <c r="AD38" s="4"/>
      <c r="AE38" s="4"/>
      <c r="AF38" s="4"/>
      <c r="AG38" s="4"/>
      <c r="AH38" s="9" t="s">
        <v>35</v>
      </c>
      <c r="AI38" s="18" t="str">
        <f t="shared" si="5"/>
        <v>N</v>
      </c>
      <c r="AJ38" s="4"/>
    </row>
    <row r="39" spans="1:36" ht="12.75" x14ac:dyDescent="0.2">
      <c r="A39" s="2" t="s">
        <v>111</v>
      </c>
      <c r="B39" s="2" t="s">
        <v>112</v>
      </c>
      <c r="C39" s="2" t="s">
        <v>33</v>
      </c>
      <c r="D39" s="10">
        <v>2019</v>
      </c>
      <c r="E39" s="35">
        <v>179</v>
      </c>
      <c r="F39" s="102">
        <v>306.20927064</v>
      </c>
      <c r="G39" s="12">
        <v>2030</v>
      </c>
      <c r="H39" s="30">
        <v>347</v>
      </c>
      <c r="I39" s="29">
        <v>214</v>
      </c>
      <c r="J39" s="13">
        <v>183.37</v>
      </c>
      <c r="K39" s="14">
        <f t="shared" si="0"/>
        <v>3.6852195104206879E-3</v>
      </c>
      <c r="L39" s="13" t="s">
        <v>110</v>
      </c>
      <c r="M39" s="13" t="s">
        <v>110</v>
      </c>
      <c r="N39" s="107" t="s">
        <v>41</v>
      </c>
      <c r="O39" s="108" t="s">
        <v>35</v>
      </c>
      <c r="P39" s="16" t="str">
        <f t="array" ref="P39">INDEX(CAT_NZ_Nov22!$Q$16:$Q$54,MATCH($B39,CAT_NZ_Nov22!$C$16:$C$53,0))</f>
        <v>None</v>
      </c>
      <c r="Q39" s="4" t="s">
        <v>36</v>
      </c>
      <c r="R39" s="4" t="s">
        <v>36</v>
      </c>
      <c r="S39" s="17" t="s">
        <v>36</v>
      </c>
      <c r="T39" s="18" t="str">
        <f t="shared" si="1"/>
        <v>much lower</v>
      </c>
      <c r="U39" s="18" t="str">
        <f t="shared" si="2"/>
        <v>much lower</v>
      </c>
      <c r="V39" s="18" t="str">
        <f t="shared" si="3"/>
        <v>much lower</v>
      </c>
      <c r="W39" s="18" t="str">
        <f t="shared" si="6"/>
        <v>weak</v>
      </c>
      <c r="X39" s="18" t="str">
        <f t="shared" si="7"/>
        <v>weak</v>
      </c>
      <c r="Y39" s="18" t="str">
        <f t="shared" si="8"/>
        <v>weak</v>
      </c>
      <c r="Z39" s="16" t="s">
        <v>37</v>
      </c>
      <c r="AA39" s="16"/>
      <c r="AB39" s="31" t="s">
        <v>92</v>
      </c>
      <c r="AC39" s="4"/>
      <c r="AD39" s="4"/>
      <c r="AE39" s="4"/>
      <c r="AF39" s="4"/>
      <c r="AG39" s="4"/>
      <c r="AH39" s="9" t="s">
        <v>35</v>
      </c>
      <c r="AI39" s="18" t="str">
        <f t="shared" si="5"/>
        <v>N</v>
      </c>
      <c r="AJ39" s="4"/>
    </row>
    <row r="40" spans="1:36" ht="12.75" x14ac:dyDescent="0.2">
      <c r="A40" s="2" t="s">
        <v>113</v>
      </c>
      <c r="B40" s="2" t="s">
        <v>114</v>
      </c>
      <c r="C40" s="2" t="s">
        <v>33</v>
      </c>
      <c r="D40" s="10">
        <v>2019</v>
      </c>
      <c r="E40" s="10">
        <v>1038</v>
      </c>
      <c r="F40" s="102">
        <v>907.52661106999994</v>
      </c>
      <c r="G40" s="12">
        <v>2030</v>
      </c>
      <c r="H40" s="30">
        <v>1959</v>
      </c>
      <c r="I40" s="29">
        <v>1189</v>
      </c>
      <c r="J40" s="13">
        <v>893.78</v>
      </c>
      <c r="K40" s="14">
        <f t="shared" si="0"/>
        <v>1.7962455658089124E-2</v>
      </c>
      <c r="L40" s="13" t="s">
        <v>110</v>
      </c>
      <c r="M40" s="13" t="s">
        <v>110</v>
      </c>
      <c r="N40" s="15" t="s">
        <v>63</v>
      </c>
      <c r="O40" s="16" t="s">
        <v>64</v>
      </c>
      <c r="P40" s="16" t="str">
        <f t="array" ref="P40">INDEX(CAT_NZ_Nov22!$Q$16:$Q$54,MATCH($B40,CAT_NZ_Nov22!$C$16:$C$53,0))</f>
        <v>None</v>
      </c>
      <c r="Q40" s="4" t="s">
        <v>36</v>
      </c>
      <c r="R40" s="4" t="s">
        <v>36</v>
      </c>
      <c r="S40" s="17" t="s">
        <v>36</v>
      </c>
      <c r="T40" s="18" t="str">
        <f t="shared" si="1"/>
        <v>much lower</v>
      </c>
      <c r="U40" s="18" t="str">
        <f t="shared" si="2"/>
        <v>much lower</v>
      </c>
      <c r="V40" s="18" t="str">
        <f t="shared" si="3"/>
        <v>much lower</v>
      </c>
      <c r="W40" s="18" t="str">
        <f t="shared" si="6"/>
        <v>weak</v>
      </c>
      <c r="X40" s="18" t="str">
        <f t="shared" si="7"/>
        <v>weak</v>
      </c>
      <c r="Y40" s="18" t="str">
        <f t="shared" si="8"/>
        <v>weak</v>
      </c>
      <c r="Z40" s="16" t="s">
        <v>37</v>
      </c>
      <c r="AA40" s="16"/>
      <c r="AB40" s="31" t="s">
        <v>92</v>
      </c>
      <c r="AC40" s="4"/>
      <c r="AD40" s="4"/>
      <c r="AE40" s="4"/>
      <c r="AF40" s="4"/>
      <c r="AG40" s="4"/>
      <c r="AH40" s="9" t="s">
        <v>35</v>
      </c>
      <c r="AI40" s="18" t="str">
        <f t="shared" si="5"/>
        <v>N</v>
      </c>
      <c r="AJ40" s="4"/>
    </row>
    <row r="41" spans="1:36" ht="12.75" x14ac:dyDescent="0.2">
      <c r="A41" s="2" t="s">
        <v>115</v>
      </c>
      <c r="B41" s="2" t="s">
        <v>116</v>
      </c>
      <c r="C41" s="2" t="s">
        <v>33</v>
      </c>
      <c r="D41" s="10">
        <v>2019</v>
      </c>
      <c r="E41" s="10">
        <v>92</v>
      </c>
      <c r="F41" s="102">
        <v>102.198726400333</v>
      </c>
      <c r="G41" s="12">
        <v>2030</v>
      </c>
      <c r="H41" s="30">
        <v>116</v>
      </c>
      <c r="I41" s="29">
        <v>104</v>
      </c>
      <c r="J41" s="13">
        <v>91.15</v>
      </c>
      <c r="K41" s="14">
        <f t="shared" si="0"/>
        <v>1.8318577650370603E-3</v>
      </c>
      <c r="L41" s="2">
        <v>2100</v>
      </c>
      <c r="M41" s="2">
        <v>0</v>
      </c>
      <c r="N41" s="15" t="s">
        <v>41</v>
      </c>
      <c r="O41" s="21" t="s">
        <v>35</v>
      </c>
      <c r="P41" s="21" t="str">
        <f t="array" ref="P41">INDEX(CAT_NZ_Nov22!$Q$16:$Q$54,MATCH($B41,CAT_NZ_Nov22!$C$16:$C$53,0))</f>
        <v>None</v>
      </c>
      <c r="Q41" s="4" t="s">
        <v>36</v>
      </c>
      <c r="R41" s="4" t="s">
        <v>36</v>
      </c>
      <c r="S41" s="17" t="s">
        <v>36</v>
      </c>
      <c r="T41" s="18" t="str">
        <f t="shared" si="1"/>
        <v>much lower</v>
      </c>
      <c r="U41" s="18" t="str">
        <f t="shared" si="2"/>
        <v>much lower</v>
      </c>
      <c r="V41" s="18" t="str">
        <f t="shared" si="3"/>
        <v>much lower</v>
      </c>
      <c r="W41" s="18" t="str">
        <f t="shared" si="6"/>
        <v>weak</v>
      </c>
      <c r="X41" s="18" t="str">
        <f t="shared" si="7"/>
        <v>weak</v>
      </c>
      <c r="Y41" s="18" t="str">
        <f t="shared" si="8"/>
        <v>weak</v>
      </c>
      <c r="Z41" s="16" t="s">
        <v>37</v>
      </c>
      <c r="AA41" s="16"/>
      <c r="AB41" s="31" t="s">
        <v>92</v>
      </c>
      <c r="AC41" s="4"/>
      <c r="AD41" s="4"/>
      <c r="AE41" s="4"/>
      <c r="AF41" s="4"/>
      <c r="AG41" s="4"/>
      <c r="AH41" s="9" t="s">
        <v>35</v>
      </c>
      <c r="AI41" s="18" t="str">
        <f t="shared" si="5"/>
        <v>N</v>
      </c>
      <c r="AJ41" s="4"/>
    </row>
    <row r="42" spans="1:36" ht="12.75" x14ac:dyDescent="0.2">
      <c r="A42" s="36" t="s">
        <v>117</v>
      </c>
      <c r="B42" s="2" t="s">
        <v>118</v>
      </c>
      <c r="C42" s="2" t="s">
        <v>33</v>
      </c>
      <c r="D42" s="4"/>
      <c r="E42" s="4"/>
      <c r="F42" s="102">
        <v>73.088127354166602</v>
      </c>
      <c r="G42" s="12">
        <v>2030</v>
      </c>
      <c r="H42" s="37">
        <v>65.599999999999994</v>
      </c>
      <c r="I42" s="32">
        <v>81.900000000000006</v>
      </c>
      <c r="J42" s="13">
        <v>87.26</v>
      </c>
      <c r="K42" s="14">
        <f t="shared" si="0"/>
        <v>1.7536797430294446E-3</v>
      </c>
      <c r="L42" s="13" t="s">
        <v>110</v>
      </c>
      <c r="M42" s="13" t="s">
        <v>110</v>
      </c>
      <c r="N42" s="15" t="s">
        <v>63</v>
      </c>
      <c r="O42" s="16" t="s">
        <v>35</v>
      </c>
      <c r="P42" s="38" t="s">
        <v>83</v>
      </c>
      <c r="Q42" s="4" t="s">
        <v>36</v>
      </c>
      <c r="R42" s="21" t="s">
        <v>43</v>
      </c>
      <c r="S42" s="17" t="s">
        <v>36</v>
      </c>
      <c r="T42" s="18" t="str">
        <f t="shared" si="1"/>
        <v>much lower</v>
      </c>
      <c r="U42" s="18" t="str">
        <f t="shared" si="2"/>
        <v>lower</v>
      </c>
      <c r="V42" s="18" t="str">
        <f t="shared" si="3"/>
        <v>much lower</v>
      </c>
      <c r="W42" s="18" t="str">
        <f t="shared" si="6"/>
        <v>weak</v>
      </c>
      <c r="X42" s="18" t="str">
        <f t="shared" si="7"/>
        <v>weak</v>
      </c>
      <c r="Y42" s="18" t="str">
        <f t="shared" si="8"/>
        <v>weak</v>
      </c>
      <c r="Z42" s="16" t="s">
        <v>119</v>
      </c>
      <c r="AA42" s="16" t="s">
        <v>120</v>
      </c>
      <c r="AB42" s="34" t="s">
        <v>95</v>
      </c>
      <c r="AC42" s="4"/>
      <c r="AD42" s="4"/>
      <c r="AE42" s="4"/>
      <c r="AF42" s="4"/>
      <c r="AG42" s="4"/>
      <c r="AH42" s="9"/>
      <c r="AI42" s="18" t="str">
        <f t="shared" si="5"/>
        <v>N</v>
      </c>
      <c r="AJ42" s="4"/>
    </row>
    <row r="43" spans="1:36" ht="12.75" x14ac:dyDescent="0.2">
      <c r="A43" s="36" t="s">
        <v>121</v>
      </c>
      <c r="B43" s="2" t="s">
        <v>122</v>
      </c>
      <c r="C43" s="2" t="s">
        <v>33</v>
      </c>
      <c r="D43" s="4"/>
      <c r="E43" s="4"/>
      <c r="F43" s="102">
        <v>69.108647795182506</v>
      </c>
      <c r="G43" s="12">
        <v>2030</v>
      </c>
      <c r="H43" s="23">
        <v>33.4</v>
      </c>
      <c r="I43" s="23">
        <v>31.5</v>
      </c>
      <c r="J43" s="13">
        <v>72.59</v>
      </c>
      <c r="K43" s="14">
        <f t="shared" si="0"/>
        <v>1.458854143324632E-3</v>
      </c>
      <c r="L43" s="4">
        <v>2050</v>
      </c>
      <c r="M43" s="4">
        <v>0</v>
      </c>
      <c r="N43" s="15" t="s">
        <v>74</v>
      </c>
      <c r="O43" s="16" t="s">
        <v>42</v>
      </c>
      <c r="P43" s="16" t="str">
        <f t="array" ref="P43">INDEX(CAT_NZ_Nov22!$Q$16:$Q$54,MATCH($B43,CAT_NZ_Nov22!$C$16:$C$53,0))</f>
        <v>Credible</v>
      </c>
      <c r="Q43" s="4" t="s">
        <v>43</v>
      </c>
      <c r="R43" s="21" t="s">
        <v>43</v>
      </c>
      <c r="S43" s="21" t="s">
        <v>43</v>
      </c>
      <c r="T43" s="18" t="str">
        <f t="shared" si="1"/>
        <v>higher</v>
      </c>
      <c r="U43" s="18" t="str">
        <f t="shared" si="2"/>
        <v>higher</v>
      </c>
      <c r="V43" s="18" t="str">
        <f t="shared" si="3"/>
        <v>higher</v>
      </c>
      <c r="W43" s="18" t="str">
        <f t="shared" si="6"/>
        <v>stronger</v>
      </c>
      <c r="X43" s="18" t="str">
        <f t="shared" si="7"/>
        <v>stronger</v>
      </c>
      <c r="Y43" s="18" t="str">
        <f t="shared" si="8"/>
        <v>stronger</v>
      </c>
      <c r="Z43" s="16" t="s">
        <v>37</v>
      </c>
      <c r="AA43" s="16" t="s">
        <v>85</v>
      </c>
      <c r="AB43" s="25" t="s">
        <v>86</v>
      </c>
      <c r="AC43" s="4"/>
      <c r="AD43" s="4"/>
      <c r="AE43" s="4"/>
      <c r="AF43" s="4"/>
      <c r="AG43" s="4"/>
      <c r="AH43" s="9"/>
      <c r="AI43" s="18" t="str">
        <f t="shared" si="5"/>
        <v>Y</v>
      </c>
      <c r="AJ43" s="4"/>
    </row>
    <row r="44" spans="1:36" ht="12.75" x14ac:dyDescent="0.2">
      <c r="A44" s="36" t="s">
        <v>123</v>
      </c>
      <c r="B44" s="2" t="s">
        <v>124</v>
      </c>
      <c r="C44" s="2" t="s">
        <v>33</v>
      </c>
      <c r="D44" s="4"/>
      <c r="E44" s="4"/>
      <c r="F44" s="102">
        <v>80.077134372333305</v>
      </c>
      <c r="G44" s="12">
        <v>2030</v>
      </c>
      <c r="H44" s="39">
        <v>90.5</v>
      </c>
      <c r="I44" s="39">
        <v>100</v>
      </c>
      <c r="J44" s="13">
        <v>71.77</v>
      </c>
      <c r="K44" s="14">
        <f t="shared" si="0"/>
        <v>1.4423744574515612E-3</v>
      </c>
      <c r="L44" s="4">
        <v>2050</v>
      </c>
      <c r="M44" s="4">
        <v>0</v>
      </c>
      <c r="N44" s="15" t="s">
        <v>74</v>
      </c>
      <c r="O44" s="16" t="s">
        <v>35</v>
      </c>
      <c r="P44" s="38" t="s">
        <v>125</v>
      </c>
      <c r="Q44" s="4" t="s">
        <v>36</v>
      </c>
      <c r="R44" s="4" t="s">
        <v>36</v>
      </c>
      <c r="S44" s="17" t="s">
        <v>36</v>
      </c>
      <c r="T44" s="18" t="str">
        <f t="shared" si="1"/>
        <v>lower</v>
      </c>
      <c r="U44" s="18" t="str">
        <f t="shared" si="2"/>
        <v>lower</v>
      </c>
      <c r="V44" s="18" t="str">
        <f t="shared" si="3"/>
        <v>lower</v>
      </c>
      <c r="W44" s="18" t="str">
        <f t="shared" si="6"/>
        <v>weak</v>
      </c>
      <c r="X44" s="18" t="str">
        <f t="shared" si="7"/>
        <v>weak</v>
      </c>
      <c r="Y44" s="18" t="str">
        <f t="shared" si="8"/>
        <v>weak</v>
      </c>
      <c r="Z44" s="16" t="s">
        <v>126</v>
      </c>
      <c r="AA44" s="16" t="s">
        <v>127</v>
      </c>
      <c r="AB44" s="40" t="s">
        <v>128</v>
      </c>
      <c r="AC44" s="4"/>
      <c r="AD44" s="4"/>
      <c r="AE44" s="4"/>
      <c r="AF44" s="4"/>
      <c r="AG44" s="4"/>
      <c r="AH44" s="9"/>
      <c r="AI44" s="18" t="str">
        <f t="shared" si="5"/>
        <v>N</v>
      </c>
      <c r="AJ44" s="4"/>
    </row>
    <row r="45" spans="1:36" ht="12.75" x14ac:dyDescent="0.2">
      <c r="A45" s="36" t="s">
        <v>129</v>
      </c>
      <c r="B45" s="2" t="s">
        <v>130</v>
      </c>
      <c r="C45" s="2" t="s">
        <v>33</v>
      </c>
      <c r="D45" s="4">
        <v>2021</v>
      </c>
      <c r="E45" s="4">
        <v>57.9</v>
      </c>
      <c r="F45" s="103">
        <v>61.865411620933301</v>
      </c>
      <c r="G45" s="12">
        <v>2030</v>
      </c>
      <c r="H45" s="37">
        <v>60</v>
      </c>
      <c r="I45" s="32">
        <v>49</v>
      </c>
      <c r="J45" s="13">
        <v>67.260000000000005</v>
      </c>
      <c r="K45" s="14">
        <f t="shared" si="0"/>
        <v>1.3517361851496728E-3</v>
      </c>
      <c r="L45" s="4">
        <v>2050</v>
      </c>
      <c r="M45" s="4">
        <v>0</v>
      </c>
      <c r="N45" s="15" t="s">
        <v>41</v>
      </c>
      <c r="O45" s="16" t="s">
        <v>35</v>
      </c>
      <c r="P45" s="16" t="str">
        <f t="array" ref="P45">INDEX(CAT_NZ_Nov22!$Q$16:$Q$54,MATCH($B45,CAT_NZ_Nov22!$C$16:$C$53,0))</f>
        <v>Credible</v>
      </c>
      <c r="Q45" s="4" t="s">
        <v>36</v>
      </c>
      <c r="R45" s="4" t="s">
        <v>36</v>
      </c>
      <c r="S45" s="17" t="s">
        <v>36</v>
      </c>
      <c r="T45" s="18" t="str">
        <f t="shared" si="1"/>
        <v>lower</v>
      </c>
      <c r="U45" s="18" t="str">
        <f t="shared" si="2"/>
        <v>lower</v>
      </c>
      <c r="V45" s="18" t="str">
        <f t="shared" si="3"/>
        <v>lower</v>
      </c>
      <c r="W45" s="18" t="str">
        <f t="shared" si="6"/>
        <v>weak</v>
      </c>
      <c r="X45" s="18" t="str">
        <f t="shared" si="7"/>
        <v>weak</v>
      </c>
      <c r="Y45" s="18" t="str">
        <f t="shared" si="8"/>
        <v>weak</v>
      </c>
      <c r="Z45" s="16" t="s">
        <v>37</v>
      </c>
      <c r="AA45" s="16" t="s">
        <v>120</v>
      </c>
      <c r="AB45" s="34" t="s">
        <v>95</v>
      </c>
      <c r="AC45" s="2"/>
      <c r="AD45" s="4"/>
      <c r="AE45" s="4"/>
      <c r="AF45" s="4"/>
      <c r="AG45" s="4"/>
      <c r="AH45" s="9"/>
      <c r="AI45" s="18" t="str">
        <f t="shared" si="5"/>
        <v>Y</v>
      </c>
      <c r="AJ45" s="4"/>
    </row>
    <row r="46" spans="1:36" ht="12.75" x14ac:dyDescent="0.2">
      <c r="A46" s="41" t="s">
        <v>131</v>
      </c>
      <c r="B46" s="2" t="s">
        <v>132</v>
      </c>
      <c r="C46" s="2" t="s">
        <v>33</v>
      </c>
      <c r="D46" s="4"/>
      <c r="E46" s="4"/>
      <c r="F46" s="103">
        <v>56.948813636333298</v>
      </c>
      <c r="G46" s="12">
        <v>2030</v>
      </c>
      <c r="H46" s="26">
        <v>60</v>
      </c>
      <c r="I46" s="26">
        <v>59.4</v>
      </c>
      <c r="J46" s="4">
        <v>48.37</v>
      </c>
      <c r="K46" s="14">
        <f t="shared" si="0"/>
        <v>9.7210049473222811E-4</v>
      </c>
      <c r="L46" s="4">
        <v>2045</v>
      </c>
      <c r="M46" s="4">
        <v>0</v>
      </c>
      <c r="N46" s="15" t="s">
        <v>74</v>
      </c>
      <c r="O46" s="16" t="s">
        <v>35</v>
      </c>
      <c r="P46" s="38" t="s">
        <v>125</v>
      </c>
      <c r="Q46" s="4" t="s">
        <v>36</v>
      </c>
      <c r="R46" s="4" t="s">
        <v>36</v>
      </c>
      <c r="S46" s="17" t="s">
        <v>36</v>
      </c>
      <c r="T46" s="18" t="str">
        <f t="shared" si="1"/>
        <v>lower</v>
      </c>
      <c r="U46" s="18" t="str">
        <f t="shared" si="2"/>
        <v>lower</v>
      </c>
      <c r="V46" s="18" t="str">
        <f t="shared" si="3"/>
        <v>lower</v>
      </c>
      <c r="W46" s="18" t="str">
        <f t="shared" si="6"/>
        <v>weak</v>
      </c>
      <c r="X46" s="18" t="str">
        <f t="shared" si="7"/>
        <v>weak</v>
      </c>
      <c r="Y46" s="18" t="str">
        <f t="shared" si="8"/>
        <v>weak</v>
      </c>
      <c r="Z46" s="16" t="s">
        <v>133</v>
      </c>
      <c r="AA46" s="16" t="s">
        <v>134</v>
      </c>
      <c r="AB46" s="42" t="s">
        <v>135</v>
      </c>
      <c r="AC46" s="4"/>
      <c r="AD46" s="4"/>
      <c r="AE46" s="4"/>
      <c r="AF46" s="4"/>
      <c r="AG46" s="4"/>
      <c r="AH46" s="9"/>
      <c r="AI46" s="18" t="str">
        <f t="shared" si="5"/>
        <v>N</v>
      </c>
      <c r="AJ46" s="4"/>
    </row>
    <row r="47" spans="1:36" ht="12.75" x14ac:dyDescent="0.2">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3"/>
      <c r="AI47" s="4"/>
      <c r="AJ47" s="4"/>
    </row>
    <row r="48" spans="1:36" ht="12.75" x14ac:dyDescent="0.2">
      <c r="A48" s="4"/>
      <c r="B48" s="4"/>
      <c r="C48" s="4"/>
      <c r="D48" s="4"/>
      <c r="E48" s="4"/>
      <c r="F48" s="4"/>
      <c r="G48" s="4"/>
      <c r="H48" s="11" t="s">
        <v>3</v>
      </c>
      <c r="I48" s="4"/>
      <c r="J48" s="4"/>
      <c r="K48" s="4"/>
      <c r="L48" s="4"/>
      <c r="M48" s="4"/>
      <c r="N48" s="4"/>
      <c r="O48" s="4"/>
      <c r="P48" s="4"/>
      <c r="Q48" s="4"/>
      <c r="R48" s="4"/>
      <c r="S48" s="4"/>
      <c r="T48" s="4"/>
      <c r="U48" s="4"/>
      <c r="V48" s="4"/>
      <c r="W48" s="4"/>
      <c r="X48" s="4"/>
      <c r="Y48" s="4"/>
      <c r="Z48" s="4"/>
      <c r="AA48" s="4"/>
      <c r="AB48" s="4"/>
      <c r="AC48" s="4"/>
      <c r="AD48" s="4"/>
      <c r="AE48" s="4"/>
      <c r="AF48" s="4"/>
      <c r="AG48" s="4"/>
      <c r="AH48" s="43"/>
      <c r="AI48" s="4"/>
      <c r="AJ48" s="4"/>
    </row>
    <row r="49" spans="1:36" ht="12.75" x14ac:dyDescent="0.2">
      <c r="A49" s="4"/>
      <c r="B49" s="4"/>
      <c r="C49" s="4"/>
      <c r="D49" s="4"/>
      <c r="E49" s="4"/>
      <c r="F49" s="4"/>
      <c r="G49" s="4"/>
      <c r="H49" s="30" t="s">
        <v>136</v>
      </c>
      <c r="I49" s="4"/>
      <c r="J49" s="4"/>
      <c r="K49" s="4"/>
      <c r="L49" s="4"/>
      <c r="M49" s="4"/>
      <c r="N49" s="4"/>
      <c r="O49" s="4"/>
      <c r="P49" s="4"/>
      <c r="Q49" s="4"/>
      <c r="R49" s="4"/>
      <c r="S49" s="4"/>
      <c r="T49" s="4"/>
      <c r="U49" s="4"/>
      <c r="V49" s="4"/>
      <c r="W49" s="4"/>
      <c r="X49" s="4"/>
      <c r="Y49" s="4"/>
      <c r="Z49" s="4"/>
      <c r="AA49" s="4"/>
      <c r="AB49" s="4"/>
      <c r="AC49" s="4"/>
      <c r="AD49" s="4"/>
      <c r="AE49" s="4"/>
      <c r="AF49" s="4"/>
      <c r="AG49" s="4"/>
      <c r="AH49" s="43"/>
      <c r="AI49" s="4"/>
      <c r="AJ49" s="4"/>
    </row>
    <row r="50" spans="1:36" ht="12.75" x14ac:dyDescent="0.2">
      <c r="A50" s="4"/>
      <c r="B50" s="4"/>
      <c r="C50" s="4"/>
      <c r="D50" s="4"/>
      <c r="E50" s="4"/>
      <c r="F50" s="4"/>
      <c r="G50" s="4"/>
      <c r="H50" s="32" t="s">
        <v>137</v>
      </c>
      <c r="I50" s="4"/>
      <c r="J50" s="4"/>
      <c r="K50" s="4"/>
      <c r="L50" s="4"/>
      <c r="M50" s="4"/>
      <c r="N50" s="4"/>
      <c r="O50" s="4"/>
      <c r="P50" s="4"/>
      <c r="Q50" s="4"/>
      <c r="R50" s="4"/>
      <c r="S50" s="4"/>
      <c r="T50" s="4"/>
      <c r="U50" s="4"/>
      <c r="V50" s="4"/>
      <c r="W50" s="4"/>
      <c r="X50" s="4"/>
      <c r="Y50" s="4"/>
      <c r="Z50" s="4"/>
      <c r="AA50" s="4"/>
      <c r="AB50" s="4"/>
      <c r="AC50" s="4"/>
      <c r="AD50" s="4"/>
      <c r="AE50" s="4"/>
      <c r="AF50" s="4"/>
      <c r="AG50" s="4"/>
      <c r="AH50" s="43"/>
      <c r="AI50" s="4"/>
      <c r="AJ50" s="4"/>
    </row>
    <row r="51" spans="1:36" ht="12.75" x14ac:dyDescent="0.2">
      <c r="A51" s="4"/>
      <c r="B51" s="4"/>
      <c r="C51" s="4"/>
      <c r="D51" s="4"/>
      <c r="E51" s="4"/>
      <c r="F51" s="4"/>
      <c r="G51" s="4"/>
      <c r="H51" s="23" t="s">
        <v>138</v>
      </c>
      <c r="I51" s="4"/>
      <c r="J51" s="4"/>
      <c r="K51" s="4"/>
      <c r="L51" s="4"/>
      <c r="M51" s="4"/>
      <c r="N51" s="4"/>
      <c r="O51" s="4"/>
      <c r="P51" s="4"/>
      <c r="Q51" s="4"/>
      <c r="R51" s="4"/>
      <c r="S51" s="4"/>
      <c r="T51" s="4"/>
      <c r="U51" s="4"/>
      <c r="V51" s="4"/>
      <c r="W51" s="4"/>
      <c r="X51" s="4"/>
      <c r="Y51" s="4"/>
      <c r="Z51" s="4"/>
      <c r="AA51" s="4"/>
      <c r="AB51" s="4"/>
      <c r="AC51" s="4"/>
      <c r="AD51" s="4"/>
      <c r="AE51" s="4"/>
      <c r="AF51" s="4"/>
      <c r="AG51" s="4"/>
      <c r="AH51" s="43"/>
      <c r="AI51" s="4"/>
      <c r="AJ51" s="4"/>
    </row>
    <row r="52" spans="1:36" ht="12.75" x14ac:dyDescent="0.2">
      <c r="A52" s="4"/>
      <c r="B52" s="4"/>
      <c r="C52" s="4"/>
      <c r="D52" s="4"/>
      <c r="E52" s="4"/>
      <c r="F52" s="4"/>
      <c r="G52" s="4"/>
      <c r="H52" s="26" t="s">
        <v>139</v>
      </c>
      <c r="I52" s="4"/>
      <c r="J52" s="4"/>
      <c r="K52" s="4"/>
      <c r="L52" s="4"/>
      <c r="M52" s="4"/>
      <c r="N52" s="4"/>
      <c r="O52" s="4"/>
      <c r="P52" s="4"/>
      <c r="Q52" s="4"/>
      <c r="R52" s="4"/>
      <c r="S52" s="4"/>
      <c r="T52" s="4"/>
      <c r="U52" s="4"/>
      <c r="V52" s="4"/>
      <c r="W52" s="4"/>
      <c r="X52" s="4"/>
      <c r="Y52" s="4"/>
      <c r="Z52" s="4"/>
      <c r="AA52" s="4"/>
      <c r="AB52" s="4"/>
      <c r="AC52" s="4"/>
      <c r="AD52" s="4"/>
      <c r="AE52" s="4"/>
      <c r="AF52" s="4"/>
      <c r="AG52" s="4"/>
      <c r="AH52" s="43"/>
      <c r="AI52" s="4"/>
      <c r="AJ52" s="4"/>
    </row>
    <row r="53" spans="1:36" ht="12.75" x14ac:dyDescent="0.2">
      <c r="A53" s="4"/>
      <c r="B53" s="4"/>
      <c r="C53" s="4"/>
      <c r="D53" s="4"/>
      <c r="E53" s="4"/>
      <c r="F53" s="4"/>
      <c r="G53" s="4"/>
      <c r="H53" s="44" t="s">
        <v>140</v>
      </c>
      <c r="I53" s="4"/>
      <c r="J53" s="4"/>
      <c r="K53" s="4"/>
      <c r="L53" s="4"/>
      <c r="M53" s="4"/>
      <c r="N53" s="4"/>
      <c r="O53" s="4"/>
      <c r="P53" s="4"/>
      <c r="Q53" s="4"/>
      <c r="R53" s="4"/>
      <c r="S53" s="4"/>
      <c r="T53" s="4"/>
      <c r="U53" s="4"/>
      <c r="V53" s="4"/>
      <c r="W53" s="4"/>
      <c r="X53" s="4"/>
      <c r="Y53" s="4"/>
      <c r="Z53" s="4"/>
      <c r="AA53" s="4"/>
      <c r="AB53" s="4"/>
      <c r="AC53" s="4"/>
      <c r="AD53" s="4"/>
      <c r="AE53" s="4"/>
      <c r="AF53" s="4"/>
      <c r="AG53" s="4"/>
      <c r="AH53" s="43"/>
      <c r="AI53" s="4"/>
      <c r="AJ53" s="4"/>
    </row>
    <row r="54" spans="1:36" ht="12.75" x14ac:dyDescent="0.2">
      <c r="A54" s="4"/>
      <c r="B54" s="4"/>
      <c r="C54" s="4"/>
      <c r="D54" s="4"/>
      <c r="E54" s="4"/>
      <c r="F54" s="4"/>
      <c r="G54" s="4"/>
      <c r="H54" s="39" t="s">
        <v>141</v>
      </c>
      <c r="I54" s="4"/>
      <c r="J54" s="4"/>
      <c r="K54" s="4"/>
      <c r="L54" s="4"/>
      <c r="M54" s="4"/>
      <c r="N54" s="4"/>
      <c r="O54" s="4"/>
      <c r="P54" s="4"/>
      <c r="Q54" s="4"/>
      <c r="R54" s="4"/>
      <c r="S54" s="4"/>
      <c r="T54" s="4"/>
      <c r="U54" s="4"/>
      <c r="V54" s="4"/>
      <c r="W54" s="4"/>
      <c r="X54" s="4"/>
      <c r="Y54" s="4"/>
      <c r="Z54" s="4"/>
      <c r="AA54" s="4"/>
      <c r="AB54" s="4"/>
      <c r="AC54" s="4"/>
      <c r="AD54" s="4"/>
      <c r="AE54" s="4"/>
      <c r="AF54" s="4"/>
      <c r="AG54" s="4"/>
      <c r="AH54" s="43"/>
      <c r="AI54" s="4"/>
      <c r="AJ54" s="4"/>
    </row>
    <row r="55" spans="1:36" ht="12.75" x14ac:dyDescent="0.2">
      <c r="A55" s="4"/>
      <c r="B55" s="4"/>
      <c r="C55" s="4"/>
      <c r="D55" s="4"/>
      <c r="E55" s="4"/>
      <c r="F55" s="4"/>
      <c r="G55" s="4"/>
      <c r="H55" s="101" t="s">
        <v>241</v>
      </c>
      <c r="I55" s="4"/>
      <c r="J55" s="4"/>
      <c r="K55" s="4"/>
      <c r="L55" s="4"/>
      <c r="M55" s="4"/>
      <c r="N55" s="4"/>
      <c r="O55" s="4"/>
      <c r="P55" s="4"/>
      <c r="Q55" s="4"/>
      <c r="R55" s="4"/>
      <c r="S55" s="4"/>
      <c r="T55" s="4"/>
      <c r="U55" s="4"/>
      <c r="V55" s="4"/>
      <c r="W55" s="4"/>
      <c r="X55" s="4"/>
      <c r="Y55" s="4"/>
      <c r="Z55" s="4"/>
      <c r="AA55" s="4"/>
      <c r="AB55" s="4"/>
      <c r="AC55" s="4"/>
      <c r="AD55" s="4"/>
      <c r="AE55" s="4"/>
      <c r="AF55" s="4"/>
      <c r="AG55" s="4"/>
      <c r="AH55" s="43"/>
      <c r="AI55" s="4"/>
      <c r="AJ55" s="4"/>
    </row>
    <row r="56" spans="1:36" ht="12.75" x14ac:dyDescent="0.2">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3"/>
      <c r="AI56" s="4"/>
      <c r="AJ56" s="4"/>
    </row>
    <row r="57" spans="1:36" ht="12.75" x14ac:dyDescent="0.2">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3"/>
      <c r="AI57" s="4"/>
      <c r="AJ57" s="4"/>
    </row>
    <row r="58" spans="1:36" ht="12.75" x14ac:dyDescent="0.2">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3"/>
      <c r="AI58" s="4"/>
      <c r="AJ58" s="4"/>
    </row>
    <row r="59" spans="1:36" ht="12.75" x14ac:dyDescent="0.2">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3"/>
      <c r="AI59" s="4"/>
      <c r="AJ59" s="4"/>
    </row>
    <row r="60" spans="1:36" ht="12.75" x14ac:dyDescent="0.2">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3"/>
      <c r="AI60" s="4"/>
      <c r="AJ60" s="4"/>
    </row>
    <row r="61" spans="1:36" ht="12.75" x14ac:dyDescent="0.2">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3"/>
      <c r="AI61" s="4"/>
      <c r="AJ61" s="4"/>
    </row>
    <row r="62" spans="1:36" ht="12.75" x14ac:dyDescent="0.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3"/>
      <c r="AI62" s="4"/>
      <c r="AJ62" s="4"/>
    </row>
    <row r="63" spans="1:36" ht="12.75"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3"/>
      <c r="AI63" s="4"/>
      <c r="AJ63" s="4"/>
    </row>
    <row r="64" spans="1:36" ht="12.75" x14ac:dyDescent="0.2">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3"/>
      <c r="AI64" s="4"/>
      <c r="AJ64" s="4"/>
    </row>
    <row r="65" spans="1:36" ht="12.75" x14ac:dyDescent="0.2">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3"/>
      <c r="AI65" s="4"/>
      <c r="AJ65" s="4"/>
    </row>
    <row r="66" spans="1:36" ht="12.75" x14ac:dyDescent="0.2">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3"/>
      <c r="AI66" s="4"/>
      <c r="AJ66" s="4"/>
    </row>
    <row r="67" spans="1:36" ht="12.75" x14ac:dyDescent="0.2">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3"/>
      <c r="AI67" s="4"/>
      <c r="AJ67" s="4"/>
    </row>
    <row r="68" spans="1:36" ht="12.75" x14ac:dyDescent="0.2">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3"/>
      <c r="AI68" s="4"/>
      <c r="AJ68" s="4"/>
    </row>
    <row r="69" spans="1:36" ht="12.75" x14ac:dyDescent="0.2">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3"/>
      <c r="AI69" s="4"/>
      <c r="AJ69" s="4"/>
    </row>
    <row r="70" spans="1:36" ht="12.75" x14ac:dyDescent="0.2">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3"/>
      <c r="AI70" s="4"/>
      <c r="AJ70" s="4"/>
    </row>
    <row r="71" spans="1:36" ht="12.75" x14ac:dyDescent="0.2">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3"/>
      <c r="AI71" s="4"/>
      <c r="AJ71" s="4"/>
    </row>
    <row r="72" spans="1:36" ht="12.75" x14ac:dyDescent="0.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3"/>
      <c r="AI72" s="4"/>
      <c r="AJ72" s="4"/>
    </row>
    <row r="73" spans="1:36" ht="12.75" x14ac:dyDescent="0.2">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3"/>
      <c r="AI73" s="4"/>
      <c r="AJ73" s="4"/>
    </row>
    <row r="74" spans="1:36" ht="12.75" x14ac:dyDescent="0.2">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3"/>
      <c r="AI74" s="4"/>
      <c r="AJ74" s="4"/>
    </row>
    <row r="75" spans="1:36" ht="12.75" x14ac:dyDescent="0.2">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3"/>
      <c r="AI75" s="4"/>
      <c r="AJ75" s="4"/>
    </row>
    <row r="76" spans="1:36" ht="12.75" x14ac:dyDescent="0.2">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3"/>
      <c r="AI76" s="4"/>
      <c r="AJ76" s="4"/>
    </row>
    <row r="77" spans="1:36" ht="12.75" x14ac:dyDescent="0.2">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3"/>
      <c r="AI77" s="4"/>
      <c r="AJ77" s="4"/>
    </row>
    <row r="78" spans="1:36" ht="12.75" x14ac:dyDescent="0.2">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3"/>
      <c r="AI78" s="4"/>
      <c r="AJ78" s="4"/>
    </row>
    <row r="79" spans="1:36" ht="12.75" x14ac:dyDescent="0.2">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3"/>
      <c r="AI79" s="4"/>
      <c r="AJ79" s="4"/>
    </row>
    <row r="80" spans="1:36" ht="12.75"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3"/>
      <c r="AI80" s="4"/>
      <c r="AJ80" s="4"/>
    </row>
    <row r="81" spans="1:36" ht="12.75"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3"/>
      <c r="AI81" s="4"/>
      <c r="AJ81" s="4"/>
    </row>
    <row r="82" spans="1:36" ht="12.75"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3"/>
      <c r="AI82" s="4"/>
      <c r="AJ82" s="4"/>
    </row>
    <row r="83" spans="1:36" ht="12.75" x14ac:dyDescent="0.2">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3"/>
      <c r="AI83" s="4"/>
      <c r="AJ83" s="4"/>
    </row>
    <row r="84" spans="1:36" ht="12.75"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3"/>
      <c r="AI84" s="4"/>
      <c r="AJ84" s="4"/>
    </row>
    <row r="85" spans="1:36" ht="12.75" x14ac:dyDescent="0.2">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3"/>
      <c r="AI85" s="4"/>
      <c r="AJ85" s="4"/>
    </row>
    <row r="86" spans="1:36" ht="12.75" x14ac:dyDescent="0.2">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3"/>
      <c r="AI86" s="4"/>
      <c r="AJ86" s="4"/>
    </row>
    <row r="87" spans="1:36" ht="12.75"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3"/>
      <c r="AI87" s="4"/>
      <c r="AJ87" s="4"/>
    </row>
    <row r="88" spans="1:36" ht="12.75"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3"/>
      <c r="AI88" s="4"/>
      <c r="AJ88" s="4"/>
    </row>
    <row r="89" spans="1:36" ht="12.75"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3"/>
      <c r="AI89" s="4"/>
      <c r="AJ89" s="4"/>
    </row>
    <row r="90" spans="1:36" ht="12.75"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3"/>
      <c r="AI90" s="4"/>
      <c r="AJ90" s="4"/>
    </row>
    <row r="91" spans="1:36" ht="12.75"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3"/>
      <c r="AI91" s="4"/>
      <c r="AJ91" s="4"/>
    </row>
    <row r="92" spans="1:36" ht="12.75"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3"/>
      <c r="AI92" s="4"/>
      <c r="AJ92" s="4"/>
    </row>
    <row r="93" spans="1:36" ht="12.75"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3"/>
      <c r="AI93" s="4"/>
      <c r="AJ93" s="4"/>
    </row>
    <row r="94" spans="1:36" ht="12.75"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3"/>
      <c r="AI94" s="4"/>
      <c r="AJ94" s="4"/>
    </row>
    <row r="95" spans="1:36" ht="12.75"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3"/>
      <c r="AI95" s="4"/>
      <c r="AJ95" s="4"/>
    </row>
    <row r="96" spans="1:36" ht="12.75"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3"/>
      <c r="AI96" s="4"/>
      <c r="AJ96" s="4"/>
    </row>
    <row r="97" spans="1:36" ht="12.75"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3"/>
      <c r="AI97" s="4"/>
      <c r="AJ97" s="4"/>
    </row>
    <row r="98" spans="1:36" ht="12.7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3"/>
      <c r="AI98" s="4"/>
      <c r="AJ98" s="4"/>
    </row>
    <row r="99" spans="1:36" ht="12.7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3"/>
      <c r="AI99" s="4"/>
      <c r="AJ99" s="4"/>
    </row>
    <row r="100" spans="1:36" ht="12.7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3"/>
      <c r="AI100" s="4"/>
      <c r="AJ100" s="4"/>
    </row>
    <row r="101" spans="1:36" ht="12.7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3"/>
      <c r="AI101" s="4"/>
      <c r="AJ101" s="4"/>
    </row>
    <row r="102" spans="1:36" ht="12.7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3"/>
      <c r="AI102" s="4"/>
      <c r="AJ102" s="4"/>
    </row>
    <row r="103" spans="1:36" ht="12.7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3"/>
      <c r="AI103" s="4"/>
      <c r="AJ103" s="4"/>
    </row>
    <row r="104" spans="1:36" ht="12.7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3"/>
      <c r="AI104" s="4"/>
      <c r="AJ104" s="4"/>
    </row>
    <row r="105" spans="1:36" ht="12.7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3"/>
      <c r="AI105" s="4"/>
      <c r="AJ105" s="4"/>
    </row>
    <row r="106" spans="1:36" ht="12.7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3"/>
      <c r="AI106" s="4"/>
      <c r="AJ106" s="4"/>
    </row>
    <row r="107" spans="1:36" ht="12.7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3"/>
      <c r="AI107" s="4"/>
      <c r="AJ107" s="4"/>
    </row>
    <row r="108" spans="1:36" ht="12.7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3"/>
      <c r="AI108" s="4"/>
      <c r="AJ108" s="4"/>
    </row>
    <row r="109" spans="1:36" ht="12.7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3"/>
      <c r="AI109" s="4"/>
      <c r="AJ109" s="4"/>
    </row>
    <row r="110" spans="1:36" ht="12.7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3"/>
      <c r="AI110" s="4"/>
      <c r="AJ110" s="4"/>
    </row>
    <row r="111" spans="1:36" ht="12.7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3"/>
      <c r="AI111" s="4"/>
      <c r="AJ111" s="4"/>
    </row>
    <row r="112" spans="1:36" ht="12.7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3"/>
      <c r="AI112" s="4"/>
      <c r="AJ112" s="4"/>
    </row>
    <row r="113" spans="1:36" ht="12.7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3"/>
      <c r="AI113" s="4"/>
      <c r="AJ113" s="4"/>
    </row>
    <row r="114" spans="1:36" ht="12.7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3"/>
      <c r="AI114" s="4"/>
      <c r="AJ114" s="4"/>
    </row>
    <row r="115" spans="1:36" ht="12.7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3"/>
      <c r="AI115" s="4"/>
      <c r="AJ115" s="4"/>
    </row>
    <row r="116" spans="1:36" ht="12.7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3"/>
      <c r="AI116" s="4"/>
      <c r="AJ116" s="4"/>
    </row>
    <row r="117" spans="1:36" ht="12.7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3"/>
      <c r="AI117" s="4"/>
      <c r="AJ117" s="4"/>
    </row>
    <row r="118" spans="1:36" ht="12.7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3"/>
      <c r="AI118" s="4"/>
      <c r="AJ118" s="4"/>
    </row>
    <row r="119" spans="1:36" ht="12.7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3"/>
      <c r="AI119" s="4"/>
      <c r="AJ119" s="4"/>
    </row>
    <row r="120" spans="1:36" ht="12.7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3"/>
      <c r="AI120" s="4"/>
      <c r="AJ120" s="4"/>
    </row>
    <row r="121" spans="1:36" ht="12.7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3"/>
      <c r="AI121" s="4"/>
      <c r="AJ121" s="4"/>
    </row>
    <row r="122" spans="1:36" ht="12.7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3"/>
      <c r="AI122" s="4"/>
      <c r="AJ122" s="4"/>
    </row>
    <row r="123" spans="1:36" ht="12.7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3"/>
      <c r="AI123" s="4"/>
      <c r="AJ123" s="4"/>
    </row>
    <row r="124" spans="1:36" ht="12.7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3"/>
      <c r="AI124" s="4"/>
      <c r="AJ124" s="4"/>
    </row>
    <row r="125" spans="1:36" ht="12.7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3"/>
      <c r="AI125" s="4"/>
      <c r="AJ125" s="4"/>
    </row>
    <row r="126" spans="1:36" ht="12.7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3"/>
      <c r="AI126" s="4"/>
      <c r="AJ126" s="4"/>
    </row>
    <row r="127" spans="1:36" ht="12.7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3"/>
      <c r="AI127" s="4"/>
      <c r="AJ127" s="4"/>
    </row>
    <row r="128" spans="1:36" ht="12.7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3"/>
      <c r="AI128" s="4"/>
      <c r="AJ128" s="4"/>
    </row>
    <row r="129" spans="1:36" ht="12.7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3"/>
      <c r="AI129" s="4"/>
      <c r="AJ129" s="4"/>
    </row>
    <row r="130" spans="1:36" ht="12.7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3"/>
      <c r="AI130" s="4"/>
      <c r="AJ130" s="4"/>
    </row>
    <row r="131" spans="1:36" ht="12.7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3"/>
      <c r="AI131" s="4"/>
      <c r="AJ131" s="4"/>
    </row>
    <row r="132" spans="1:36" ht="12.7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3"/>
      <c r="AI132" s="4"/>
      <c r="AJ132" s="4"/>
    </row>
    <row r="133" spans="1:36" ht="12.7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3"/>
      <c r="AI133" s="4"/>
      <c r="AJ133" s="4"/>
    </row>
    <row r="134" spans="1:36" ht="12.7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3"/>
      <c r="AI134" s="4"/>
      <c r="AJ134" s="4"/>
    </row>
    <row r="135" spans="1:36" ht="12.7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3"/>
      <c r="AI135" s="4"/>
      <c r="AJ135" s="4"/>
    </row>
    <row r="136" spans="1:36" ht="12.7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3"/>
      <c r="AI136" s="4"/>
      <c r="AJ136" s="4"/>
    </row>
    <row r="137" spans="1:36" ht="12.7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3"/>
      <c r="AI137" s="4"/>
      <c r="AJ137" s="4"/>
    </row>
    <row r="138" spans="1:36" ht="12.7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3"/>
      <c r="AI138" s="4"/>
      <c r="AJ138" s="4"/>
    </row>
    <row r="139" spans="1:36" ht="12.7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3"/>
      <c r="AI139" s="4"/>
      <c r="AJ139" s="4"/>
    </row>
    <row r="140" spans="1:36" ht="12.7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3"/>
      <c r="AI140" s="4"/>
      <c r="AJ140" s="4"/>
    </row>
    <row r="141" spans="1:36" ht="12.7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3"/>
      <c r="AI141" s="4"/>
      <c r="AJ141" s="4"/>
    </row>
    <row r="142" spans="1:36" ht="12.7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3"/>
      <c r="AI142" s="4"/>
      <c r="AJ142" s="4"/>
    </row>
    <row r="143" spans="1:36" ht="12.7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3"/>
      <c r="AI143" s="4"/>
      <c r="AJ143" s="4"/>
    </row>
    <row r="144" spans="1:36" ht="12.7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3"/>
      <c r="AI144" s="4"/>
      <c r="AJ144" s="4"/>
    </row>
    <row r="145" spans="1:36" ht="12.7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3"/>
      <c r="AI145" s="4"/>
      <c r="AJ145" s="4"/>
    </row>
    <row r="146" spans="1:36" ht="12.7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3"/>
      <c r="AI146" s="4"/>
      <c r="AJ146" s="4"/>
    </row>
    <row r="147" spans="1:36" ht="12.7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3"/>
      <c r="AI147" s="4"/>
      <c r="AJ147" s="4"/>
    </row>
    <row r="148" spans="1:36" ht="12.7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3"/>
      <c r="AI148" s="4"/>
      <c r="AJ148" s="4"/>
    </row>
    <row r="149" spans="1:36" ht="12.7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3"/>
      <c r="AI149" s="4"/>
      <c r="AJ149" s="4"/>
    </row>
    <row r="150" spans="1:36" ht="12.7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3"/>
      <c r="AI150" s="4"/>
      <c r="AJ150" s="4"/>
    </row>
    <row r="151" spans="1:36" ht="12.7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3"/>
      <c r="AI151" s="4"/>
      <c r="AJ151" s="4"/>
    </row>
    <row r="152" spans="1:36" ht="12.7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3"/>
      <c r="AI152" s="4"/>
      <c r="AJ152" s="4"/>
    </row>
    <row r="153" spans="1:36" ht="12.7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3"/>
      <c r="AI153" s="4"/>
      <c r="AJ153" s="4"/>
    </row>
    <row r="154" spans="1:36" ht="12.7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3"/>
      <c r="AI154" s="4"/>
      <c r="AJ154" s="4"/>
    </row>
    <row r="155" spans="1:36" ht="12.7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3"/>
      <c r="AI155" s="4"/>
      <c r="AJ155" s="4"/>
    </row>
    <row r="156" spans="1:36" ht="12.7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3"/>
      <c r="AI156" s="4"/>
      <c r="AJ156" s="4"/>
    </row>
    <row r="157" spans="1:36" ht="12.7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3"/>
      <c r="AI157" s="4"/>
      <c r="AJ157" s="4"/>
    </row>
    <row r="158" spans="1:36" ht="12.7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3"/>
      <c r="AI158" s="4"/>
      <c r="AJ158" s="4"/>
    </row>
    <row r="159" spans="1:36" ht="12.7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3"/>
      <c r="AI159" s="4"/>
      <c r="AJ159" s="4"/>
    </row>
    <row r="160" spans="1:36" ht="12.7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3"/>
      <c r="AI160" s="4"/>
      <c r="AJ160" s="4"/>
    </row>
    <row r="161" spans="1:36" ht="12.7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3"/>
      <c r="AI161" s="4"/>
      <c r="AJ161" s="4"/>
    </row>
    <row r="162" spans="1:36" ht="12.7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3"/>
      <c r="AI162" s="4"/>
      <c r="AJ162" s="4"/>
    </row>
    <row r="163" spans="1:36" ht="12.7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3"/>
      <c r="AI163" s="4"/>
      <c r="AJ163" s="4"/>
    </row>
    <row r="164" spans="1:36" ht="12.7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3"/>
      <c r="AI164" s="4"/>
      <c r="AJ164" s="4"/>
    </row>
    <row r="165" spans="1:36" ht="12.7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3"/>
      <c r="AI165" s="4"/>
      <c r="AJ165" s="4"/>
    </row>
    <row r="166" spans="1:36" ht="12.7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3"/>
      <c r="AI166" s="4"/>
      <c r="AJ166" s="4"/>
    </row>
    <row r="167" spans="1:36" ht="12.7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3"/>
      <c r="AI167" s="4"/>
      <c r="AJ167" s="4"/>
    </row>
    <row r="168" spans="1:36" ht="12.7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3"/>
      <c r="AI168" s="4"/>
      <c r="AJ168" s="4"/>
    </row>
    <row r="169" spans="1:36" ht="12.7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3"/>
      <c r="AI169" s="4"/>
      <c r="AJ169" s="4"/>
    </row>
    <row r="170" spans="1:36" ht="12.7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3"/>
      <c r="AI170" s="4"/>
      <c r="AJ170" s="4"/>
    </row>
    <row r="171" spans="1:36" ht="12.7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3"/>
      <c r="AI171" s="4"/>
      <c r="AJ171" s="4"/>
    </row>
    <row r="172" spans="1:36" ht="12.7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3"/>
      <c r="AI172" s="4"/>
      <c r="AJ172" s="4"/>
    </row>
    <row r="173" spans="1:36" ht="12.7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3"/>
      <c r="AI173" s="4"/>
      <c r="AJ173" s="4"/>
    </row>
    <row r="174" spans="1:36" ht="12.7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3"/>
      <c r="AI174" s="4"/>
      <c r="AJ174" s="4"/>
    </row>
    <row r="175" spans="1:36" ht="12.7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3"/>
      <c r="AI175" s="4"/>
      <c r="AJ175" s="4"/>
    </row>
    <row r="176" spans="1:36" ht="12.7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3"/>
      <c r="AI176" s="4"/>
      <c r="AJ176" s="4"/>
    </row>
    <row r="177" spans="1:36" ht="12.7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3"/>
      <c r="AI177" s="4"/>
      <c r="AJ177" s="4"/>
    </row>
    <row r="178" spans="1:36" ht="12.7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3"/>
      <c r="AI178" s="4"/>
      <c r="AJ178" s="4"/>
    </row>
    <row r="179" spans="1:36" ht="12.7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3"/>
      <c r="AI179" s="4"/>
      <c r="AJ179" s="4"/>
    </row>
    <row r="180" spans="1:36" ht="12.7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3"/>
      <c r="AI180" s="4"/>
      <c r="AJ180" s="4"/>
    </row>
    <row r="181" spans="1:36" ht="12.7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3"/>
      <c r="AI181" s="4"/>
      <c r="AJ181" s="4"/>
    </row>
    <row r="182" spans="1:36" ht="12.7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3"/>
      <c r="AI182" s="4"/>
      <c r="AJ182" s="4"/>
    </row>
    <row r="183" spans="1:36" ht="12.7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3"/>
      <c r="AI183" s="4"/>
      <c r="AJ183" s="4"/>
    </row>
    <row r="184" spans="1:36" ht="12.7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3"/>
      <c r="AI184" s="4"/>
      <c r="AJ184" s="4"/>
    </row>
    <row r="185" spans="1:36" ht="12.7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3"/>
      <c r="AI185" s="4"/>
      <c r="AJ185" s="4"/>
    </row>
    <row r="186" spans="1:36" ht="12.7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3"/>
      <c r="AI186" s="4"/>
      <c r="AJ186" s="4"/>
    </row>
    <row r="187" spans="1:36" ht="12.7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3"/>
      <c r="AI187" s="4"/>
      <c r="AJ187" s="4"/>
    </row>
    <row r="188" spans="1:36" ht="12.7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3"/>
      <c r="AI188" s="4"/>
      <c r="AJ188" s="4"/>
    </row>
    <row r="189" spans="1:36" ht="12.7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3"/>
      <c r="AI189" s="4"/>
      <c r="AJ189" s="4"/>
    </row>
    <row r="190" spans="1:36" ht="12.7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3"/>
      <c r="AI190" s="4"/>
      <c r="AJ190" s="4"/>
    </row>
    <row r="191" spans="1:36" ht="12.7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3"/>
      <c r="AI191" s="4"/>
      <c r="AJ191" s="4"/>
    </row>
    <row r="192" spans="1:36" ht="12.7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3"/>
      <c r="AI192" s="4"/>
      <c r="AJ192" s="4"/>
    </row>
    <row r="193" spans="1:36" ht="12.7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3"/>
      <c r="AI193" s="4"/>
      <c r="AJ193" s="4"/>
    </row>
    <row r="194" spans="1:36" ht="12.7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3"/>
      <c r="AI194" s="4"/>
      <c r="AJ194" s="4"/>
    </row>
    <row r="195" spans="1:36" ht="12.7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3"/>
      <c r="AI195" s="4"/>
      <c r="AJ195" s="4"/>
    </row>
    <row r="196" spans="1:36" ht="12.7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3"/>
      <c r="AI196" s="4"/>
      <c r="AJ196" s="4"/>
    </row>
    <row r="197" spans="1:36" ht="12.7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3"/>
      <c r="AI197" s="4"/>
      <c r="AJ197" s="4"/>
    </row>
    <row r="198" spans="1:36" ht="12.7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3"/>
      <c r="AI198" s="4"/>
      <c r="AJ198" s="4"/>
    </row>
    <row r="199" spans="1:36" ht="12.7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3"/>
      <c r="AI199" s="4"/>
      <c r="AJ199" s="4"/>
    </row>
    <row r="200" spans="1:36" ht="12.7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3"/>
      <c r="AI200" s="4"/>
      <c r="AJ200" s="4"/>
    </row>
    <row r="201" spans="1:36" ht="12.7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3"/>
      <c r="AI201" s="4"/>
      <c r="AJ201" s="4"/>
    </row>
    <row r="202" spans="1:36" ht="12.7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3"/>
      <c r="AI202" s="4"/>
      <c r="AJ202" s="4"/>
    </row>
    <row r="203" spans="1:36" ht="12.7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3"/>
      <c r="AI203" s="4"/>
      <c r="AJ203" s="4"/>
    </row>
    <row r="204" spans="1:36" ht="12.7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3"/>
      <c r="AI204" s="4"/>
      <c r="AJ204" s="4"/>
    </row>
    <row r="205" spans="1:36" ht="12.7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3"/>
      <c r="AI205" s="4"/>
      <c r="AJ205" s="4"/>
    </row>
    <row r="206" spans="1:36" ht="12.7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3"/>
      <c r="AI206" s="4"/>
      <c r="AJ206" s="4"/>
    </row>
    <row r="207" spans="1:36" ht="12.7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3"/>
      <c r="AI207" s="4"/>
      <c r="AJ207" s="4"/>
    </row>
    <row r="208" spans="1:36" ht="12.7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3"/>
      <c r="AI208" s="4"/>
      <c r="AJ208" s="4"/>
    </row>
    <row r="209" spans="1:36" ht="12.7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3"/>
      <c r="AI209" s="4"/>
      <c r="AJ209" s="4"/>
    </row>
    <row r="210" spans="1:36" ht="12.7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3"/>
      <c r="AI210" s="4"/>
      <c r="AJ210" s="4"/>
    </row>
    <row r="211" spans="1:36" ht="12.7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3"/>
      <c r="AI211" s="4"/>
      <c r="AJ211" s="4"/>
    </row>
    <row r="212" spans="1:36" ht="12.7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3"/>
      <c r="AI212" s="4"/>
      <c r="AJ212" s="4"/>
    </row>
    <row r="213" spans="1:36" ht="12.7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3"/>
      <c r="AI213" s="4"/>
      <c r="AJ213" s="4"/>
    </row>
    <row r="214" spans="1:36" ht="12.7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3"/>
      <c r="AI214" s="4"/>
      <c r="AJ214" s="4"/>
    </row>
    <row r="215" spans="1:36" ht="12.7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3"/>
      <c r="AI215" s="4"/>
      <c r="AJ215" s="4"/>
    </row>
    <row r="216" spans="1:36" ht="12.7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3"/>
      <c r="AI216" s="4"/>
      <c r="AJ216" s="4"/>
    </row>
    <row r="217" spans="1:36" ht="12.7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3"/>
      <c r="AI217" s="4"/>
      <c r="AJ217" s="4"/>
    </row>
    <row r="218" spans="1:36" ht="12.7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3"/>
      <c r="AI218" s="4"/>
      <c r="AJ218" s="4"/>
    </row>
    <row r="219" spans="1:36" ht="12.7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3"/>
      <c r="AI219" s="4"/>
      <c r="AJ219" s="4"/>
    </row>
    <row r="220" spans="1:36" ht="12.7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3"/>
      <c r="AI220" s="4"/>
      <c r="AJ220" s="4"/>
    </row>
    <row r="221" spans="1:36" ht="12.7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3"/>
      <c r="AI221" s="4"/>
      <c r="AJ221" s="4"/>
    </row>
    <row r="222" spans="1:36" ht="12.7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3"/>
      <c r="AI222" s="4"/>
      <c r="AJ222" s="4"/>
    </row>
    <row r="223" spans="1:36" ht="12.7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3"/>
      <c r="AI223" s="4"/>
      <c r="AJ223" s="4"/>
    </row>
    <row r="224" spans="1:36" ht="12.7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3"/>
      <c r="AI224" s="4"/>
      <c r="AJ224" s="4"/>
    </row>
    <row r="225" spans="1:36" ht="12.7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3"/>
      <c r="AI225" s="4"/>
      <c r="AJ225" s="4"/>
    </row>
    <row r="226" spans="1:36" ht="12.7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3"/>
      <c r="AI226" s="4"/>
      <c r="AJ226" s="4"/>
    </row>
    <row r="227" spans="1:36" ht="12.7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3"/>
      <c r="AI227" s="4"/>
      <c r="AJ227" s="4"/>
    </row>
    <row r="228" spans="1:36" ht="12.7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3"/>
      <c r="AI228" s="4"/>
      <c r="AJ228" s="4"/>
    </row>
    <row r="229" spans="1:36" ht="12.7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3"/>
      <c r="AI229" s="4"/>
      <c r="AJ229" s="4"/>
    </row>
    <row r="230" spans="1:36" ht="12.7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3"/>
      <c r="AI230" s="4"/>
      <c r="AJ230" s="4"/>
    </row>
    <row r="231" spans="1:36" ht="12.7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3"/>
      <c r="AI231" s="4"/>
      <c r="AJ231" s="4"/>
    </row>
    <row r="232" spans="1:36" ht="12.7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3"/>
      <c r="AI232" s="4"/>
      <c r="AJ232" s="4"/>
    </row>
    <row r="233" spans="1:36" ht="12.7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3"/>
      <c r="AI233" s="4"/>
      <c r="AJ233" s="4"/>
    </row>
    <row r="234" spans="1:36" ht="12.7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3"/>
      <c r="AI234" s="4"/>
      <c r="AJ234" s="4"/>
    </row>
    <row r="235" spans="1:36" ht="12.7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3"/>
      <c r="AI235" s="4"/>
      <c r="AJ235" s="4"/>
    </row>
    <row r="236" spans="1:36" ht="12.7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3"/>
      <c r="AI236" s="4"/>
      <c r="AJ236" s="4"/>
    </row>
    <row r="237" spans="1:36" ht="12.7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3"/>
      <c r="AI237" s="4"/>
      <c r="AJ237" s="4"/>
    </row>
    <row r="238" spans="1:36" ht="12.7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3"/>
      <c r="AI238" s="4"/>
      <c r="AJ238" s="4"/>
    </row>
    <row r="239" spans="1:36" ht="12.7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3"/>
      <c r="AI239" s="4"/>
      <c r="AJ239" s="4"/>
    </row>
    <row r="240" spans="1:36" ht="12.7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3"/>
      <c r="AI240" s="4"/>
      <c r="AJ240" s="4"/>
    </row>
    <row r="241" spans="1:36" ht="12.7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3"/>
      <c r="AI241" s="4"/>
      <c r="AJ241" s="4"/>
    </row>
    <row r="242" spans="1:36" ht="12.7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3"/>
      <c r="AI242" s="4"/>
      <c r="AJ242" s="4"/>
    </row>
    <row r="243" spans="1:36" ht="12.7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3"/>
      <c r="AI243" s="4"/>
      <c r="AJ243" s="4"/>
    </row>
    <row r="244" spans="1:36" ht="12.7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3"/>
      <c r="AI244" s="4"/>
      <c r="AJ244" s="4"/>
    </row>
    <row r="245" spans="1:36" ht="12.7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3"/>
      <c r="AI245" s="4"/>
      <c r="AJ245" s="4"/>
    </row>
    <row r="246" spans="1:36" ht="12.7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3"/>
      <c r="AI246" s="4"/>
      <c r="AJ246" s="4"/>
    </row>
    <row r="247" spans="1:36" ht="12.7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3"/>
      <c r="AI247" s="4"/>
      <c r="AJ247" s="4"/>
    </row>
    <row r="248" spans="1:36" ht="12.7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3"/>
      <c r="AI248" s="4"/>
      <c r="AJ248" s="4"/>
    </row>
    <row r="249" spans="1:36" ht="12.7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3"/>
      <c r="AI249" s="4"/>
      <c r="AJ249" s="4"/>
    </row>
    <row r="250" spans="1:36" ht="12.7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3"/>
      <c r="AI250" s="4"/>
      <c r="AJ250" s="4"/>
    </row>
    <row r="251" spans="1:36" ht="12.7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3"/>
      <c r="AI251" s="4"/>
      <c r="AJ251" s="4"/>
    </row>
    <row r="252" spans="1:36" ht="12.7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3"/>
      <c r="AI252" s="4"/>
      <c r="AJ252" s="4"/>
    </row>
    <row r="253" spans="1:36" ht="12.7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3"/>
      <c r="AI253" s="4"/>
      <c r="AJ253" s="4"/>
    </row>
    <row r="254" spans="1:36" ht="12.7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3"/>
      <c r="AI254" s="4"/>
      <c r="AJ254" s="4"/>
    </row>
    <row r="255" spans="1:36" ht="12.7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3"/>
      <c r="AI255" s="4"/>
      <c r="AJ255" s="4"/>
    </row>
    <row r="256" spans="1:36" ht="12.7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3"/>
      <c r="AI256" s="4"/>
      <c r="AJ256" s="4"/>
    </row>
    <row r="257" spans="1:36" ht="12.7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3"/>
      <c r="AI257" s="4"/>
      <c r="AJ257" s="4"/>
    </row>
    <row r="258" spans="1:36" ht="12.7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3"/>
      <c r="AI258" s="4"/>
      <c r="AJ258" s="4"/>
    </row>
    <row r="259" spans="1:36" ht="12.7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3"/>
      <c r="AI259" s="4"/>
      <c r="AJ259" s="4"/>
    </row>
    <row r="260" spans="1:36" ht="12.7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3"/>
      <c r="AI260" s="4"/>
      <c r="AJ260" s="4"/>
    </row>
    <row r="261" spans="1:36" ht="12.7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3"/>
      <c r="AI261" s="4"/>
      <c r="AJ261" s="4"/>
    </row>
    <row r="262" spans="1:36" ht="12.7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3"/>
      <c r="AI262" s="4"/>
      <c r="AJ262" s="4"/>
    </row>
    <row r="263" spans="1:36" ht="12.7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3"/>
      <c r="AI263" s="4"/>
      <c r="AJ263" s="4"/>
    </row>
    <row r="264" spans="1:36" ht="12.7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3"/>
      <c r="AI264" s="4"/>
      <c r="AJ264" s="4"/>
    </row>
    <row r="265" spans="1:36" ht="12.7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3"/>
      <c r="AI265" s="4"/>
      <c r="AJ265" s="4"/>
    </row>
    <row r="266" spans="1:36" ht="12.7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3"/>
      <c r="AI266" s="4"/>
      <c r="AJ266" s="4"/>
    </row>
    <row r="267" spans="1:36" ht="12.7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3"/>
      <c r="AI267" s="4"/>
      <c r="AJ267" s="4"/>
    </row>
    <row r="268" spans="1:36" ht="12.7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3"/>
      <c r="AI268" s="4"/>
      <c r="AJ268" s="4"/>
    </row>
    <row r="269" spans="1:36" ht="12.75"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3"/>
      <c r="AI269" s="4"/>
      <c r="AJ269" s="4"/>
    </row>
    <row r="270" spans="1:36" ht="12.75"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3"/>
      <c r="AI270" s="4"/>
      <c r="AJ270" s="4"/>
    </row>
    <row r="271" spans="1:36" ht="12.75"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3"/>
      <c r="AI271" s="4"/>
      <c r="AJ271" s="4"/>
    </row>
    <row r="272" spans="1:36" ht="12.75"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3"/>
      <c r="AI272" s="4"/>
      <c r="AJ272" s="4"/>
    </row>
    <row r="273" spans="1:36" ht="12.75"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3"/>
      <c r="AI273" s="4"/>
      <c r="AJ273" s="4"/>
    </row>
    <row r="274" spans="1:36" ht="12.75"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3"/>
      <c r="AI274" s="4"/>
      <c r="AJ274" s="4"/>
    </row>
    <row r="275" spans="1:36" ht="12.75"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3"/>
      <c r="AI275" s="4"/>
      <c r="AJ275" s="4"/>
    </row>
    <row r="276" spans="1:36" ht="12.75"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3"/>
      <c r="AI276" s="4"/>
      <c r="AJ276" s="4"/>
    </row>
    <row r="277" spans="1:36" ht="12.75"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3"/>
      <c r="AI277" s="4"/>
      <c r="AJ277" s="4"/>
    </row>
    <row r="278" spans="1:36" ht="12.75"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3"/>
      <c r="AI278" s="4"/>
      <c r="AJ278" s="4"/>
    </row>
    <row r="279" spans="1:36" ht="12.75"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3"/>
      <c r="AI279" s="4"/>
      <c r="AJ279" s="4"/>
    </row>
    <row r="280" spans="1:36" ht="12.75"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3"/>
      <c r="AI280" s="4"/>
      <c r="AJ280" s="4"/>
    </row>
    <row r="281" spans="1:36" ht="12.75"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3"/>
      <c r="AI281" s="4"/>
      <c r="AJ281" s="4"/>
    </row>
    <row r="282" spans="1:36" ht="12.75"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3"/>
      <c r="AI282" s="4"/>
      <c r="AJ282" s="4"/>
    </row>
    <row r="283" spans="1:36" ht="12.75"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3"/>
      <c r="AI283" s="4"/>
      <c r="AJ283" s="4"/>
    </row>
    <row r="284" spans="1:36" ht="12.75"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3"/>
      <c r="AI284" s="4"/>
      <c r="AJ284" s="4"/>
    </row>
    <row r="285" spans="1:36" ht="12.75"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3"/>
      <c r="AI285" s="4"/>
      <c r="AJ285" s="4"/>
    </row>
    <row r="286" spans="1:36" ht="12.75"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3"/>
      <c r="AI286" s="4"/>
      <c r="AJ286" s="4"/>
    </row>
    <row r="287" spans="1:36" ht="12.75"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3"/>
      <c r="AI287" s="4"/>
      <c r="AJ287" s="4"/>
    </row>
    <row r="288" spans="1:36" ht="12.75"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3"/>
      <c r="AI288" s="4"/>
      <c r="AJ288" s="4"/>
    </row>
    <row r="289" spans="1:36" ht="12.75"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3"/>
      <c r="AI289" s="4"/>
      <c r="AJ289" s="4"/>
    </row>
    <row r="290" spans="1:36" ht="12.75"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3"/>
      <c r="AI290" s="4"/>
      <c r="AJ290" s="4"/>
    </row>
    <row r="291" spans="1:36" ht="12.75"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3"/>
      <c r="AI291" s="4"/>
      <c r="AJ291" s="4"/>
    </row>
    <row r="292" spans="1:36" ht="12.75"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3"/>
      <c r="AI292" s="4"/>
      <c r="AJ292" s="4"/>
    </row>
    <row r="293" spans="1:36" ht="12.75"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3"/>
      <c r="AI293" s="4"/>
      <c r="AJ293" s="4"/>
    </row>
    <row r="294" spans="1:36" ht="12.75"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3"/>
      <c r="AI294" s="4"/>
      <c r="AJ294" s="4"/>
    </row>
    <row r="295" spans="1:36" ht="12.75"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3"/>
      <c r="AI295" s="4"/>
      <c r="AJ295" s="4"/>
    </row>
    <row r="296" spans="1:36" ht="12.75"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3"/>
      <c r="AI296" s="4"/>
      <c r="AJ296" s="4"/>
    </row>
    <row r="297" spans="1:36" ht="12.75"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3"/>
      <c r="AI297" s="4"/>
      <c r="AJ297" s="4"/>
    </row>
    <row r="298" spans="1:36" ht="12.75"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3"/>
      <c r="AI298" s="4"/>
      <c r="AJ298" s="4"/>
    </row>
    <row r="299" spans="1:36" ht="12.75"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3"/>
      <c r="AI299" s="4"/>
      <c r="AJ299" s="4"/>
    </row>
    <row r="300" spans="1:36" ht="12.75"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3"/>
      <c r="AI300" s="4"/>
      <c r="AJ300" s="4"/>
    </row>
    <row r="301" spans="1:36" ht="12.75"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3"/>
      <c r="AI301" s="4"/>
      <c r="AJ301" s="4"/>
    </row>
    <row r="302" spans="1:36" ht="12.75"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3"/>
      <c r="AI302" s="4"/>
      <c r="AJ302" s="4"/>
    </row>
    <row r="303" spans="1:36" ht="12.75"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3"/>
      <c r="AI303" s="4"/>
      <c r="AJ303" s="4"/>
    </row>
    <row r="304" spans="1:36" ht="12.75"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3"/>
      <c r="AI304" s="4"/>
      <c r="AJ304" s="4"/>
    </row>
    <row r="305" spans="1:36" ht="12.75"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3"/>
      <c r="AI305" s="4"/>
      <c r="AJ305" s="4"/>
    </row>
    <row r="306" spans="1:36" ht="12.75"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3"/>
      <c r="AI306" s="4"/>
      <c r="AJ306" s="4"/>
    </row>
    <row r="307" spans="1:36" ht="12.75"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3"/>
      <c r="AI307" s="4"/>
      <c r="AJ307" s="4"/>
    </row>
    <row r="308" spans="1:36" ht="12.75"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3"/>
      <c r="AI308" s="4"/>
      <c r="AJ308" s="4"/>
    </row>
    <row r="309" spans="1:36" ht="12.75"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3"/>
      <c r="AI309" s="4"/>
      <c r="AJ309" s="4"/>
    </row>
    <row r="310" spans="1:36" ht="12.75"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3"/>
      <c r="AI310" s="4"/>
      <c r="AJ310" s="4"/>
    </row>
    <row r="311" spans="1:36" ht="12.75"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3"/>
      <c r="AI311" s="4"/>
      <c r="AJ311" s="4"/>
    </row>
    <row r="312" spans="1:36" ht="12.75"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3"/>
      <c r="AI312" s="4"/>
      <c r="AJ312" s="4"/>
    </row>
    <row r="313" spans="1:36" ht="12.75"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3"/>
      <c r="AI313" s="4"/>
      <c r="AJ313" s="4"/>
    </row>
    <row r="314" spans="1:36" ht="12.75"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3"/>
      <c r="AI314" s="4"/>
      <c r="AJ314" s="4"/>
    </row>
    <row r="315" spans="1:36" ht="12.75"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3"/>
      <c r="AI315" s="4"/>
      <c r="AJ315" s="4"/>
    </row>
    <row r="316" spans="1:36" ht="12.75"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3"/>
      <c r="AI316" s="4"/>
      <c r="AJ316" s="4"/>
    </row>
    <row r="317" spans="1:36" ht="12.75"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3"/>
      <c r="AI317" s="4"/>
      <c r="AJ317" s="4"/>
    </row>
    <row r="318" spans="1:36" ht="12.75"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3"/>
      <c r="AI318" s="4"/>
      <c r="AJ318" s="4"/>
    </row>
    <row r="319" spans="1:36" ht="12.75"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3"/>
      <c r="AI319" s="4"/>
      <c r="AJ319" s="4"/>
    </row>
    <row r="320" spans="1:36" ht="12.75"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3"/>
      <c r="AI320" s="4"/>
      <c r="AJ320" s="4"/>
    </row>
    <row r="321" spans="1:36" ht="12.75"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3"/>
      <c r="AI321" s="4"/>
      <c r="AJ321" s="4"/>
    </row>
    <row r="322" spans="1:36" ht="12.75"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3"/>
      <c r="AI322" s="4"/>
      <c r="AJ322" s="4"/>
    </row>
    <row r="323" spans="1:36" ht="12.75"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3"/>
      <c r="AI323" s="4"/>
      <c r="AJ323" s="4"/>
    </row>
    <row r="324" spans="1:36" ht="12.75"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3"/>
      <c r="AI324" s="4"/>
      <c r="AJ324" s="4"/>
    </row>
    <row r="325" spans="1:36" ht="12.75"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3"/>
      <c r="AI325" s="4"/>
      <c r="AJ325" s="4"/>
    </row>
    <row r="326" spans="1:36" ht="12.75"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3"/>
      <c r="AI326" s="4"/>
      <c r="AJ326" s="4"/>
    </row>
    <row r="327" spans="1:36" ht="12.75"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3"/>
      <c r="AI327" s="4"/>
      <c r="AJ327" s="4"/>
    </row>
    <row r="328" spans="1:36" ht="12.75"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3"/>
      <c r="AI328" s="4"/>
      <c r="AJ328" s="4"/>
    </row>
    <row r="329" spans="1:36" ht="12.75"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3"/>
      <c r="AI329" s="4"/>
      <c r="AJ329" s="4"/>
    </row>
    <row r="330" spans="1:36" ht="12.75"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3"/>
      <c r="AI330" s="4"/>
      <c r="AJ330" s="4"/>
    </row>
    <row r="331" spans="1:36" ht="12.75"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3"/>
      <c r="AI331" s="4"/>
      <c r="AJ331" s="4"/>
    </row>
    <row r="332" spans="1:36" ht="12.75"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3"/>
      <c r="AI332" s="4"/>
      <c r="AJ332" s="4"/>
    </row>
    <row r="333" spans="1:36" ht="12.75"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3"/>
      <c r="AI333" s="4"/>
      <c r="AJ333" s="4"/>
    </row>
    <row r="334" spans="1:36" ht="12.75"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3"/>
      <c r="AI334" s="4"/>
      <c r="AJ334" s="4"/>
    </row>
    <row r="335" spans="1:36" ht="12.75"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3"/>
      <c r="AI335" s="4"/>
      <c r="AJ335" s="4"/>
    </row>
    <row r="336" spans="1:36" ht="12.75"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3"/>
      <c r="AI336" s="4"/>
      <c r="AJ336" s="4"/>
    </row>
    <row r="337" spans="1:36" ht="12.7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3"/>
      <c r="AI337" s="4"/>
      <c r="AJ337" s="4"/>
    </row>
    <row r="338" spans="1:36" ht="12.75"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3"/>
      <c r="AI338" s="4"/>
      <c r="AJ338" s="4"/>
    </row>
    <row r="339" spans="1:36" ht="12.75"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3"/>
      <c r="AI339" s="4"/>
      <c r="AJ339" s="4"/>
    </row>
    <row r="340" spans="1:36" ht="12.75"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3"/>
      <c r="AI340" s="4"/>
      <c r="AJ340" s="4"/>
    </row>
    <row r="341" spans="1:36" ht="12.75"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3"/>
      <c r="AI341" s="4"/>
      <c r="AJ341" s="4"/>
    </row>
    <row r="342" spans="1:36" ht="12.75"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3"/>
      <c r="AI342" s="4"/>
      <c r="AJ342" s="4"/>
    </row>
    <row r="343" spans="1:36" ht="12.75"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3"/>
      <c r="AI343" s="4"/>
      <c r="AJ343" s="4"/>
    </row>
    <row r="344" spans="1:36" ht="12.75"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3"/>
      <c r="AI344" s="4"/>
      <c r="AJ344" s="4"/>
    </row>
    <row r="345" spans="1:36" ht="12.7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3"/>
      <c r="AI345" s="4"/>
      <c r="AJ345" s="4"/>
    </row>
    <row r="346" spans="1:36" ht="12.75"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3"/>
      <c r="AI346" s="4"/>
      <c r="AJ346" s="4"/>
    </row>
    <row r="347" spans="1:36" ht="12.75"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3"/>
      <c r="AI347" s="4"/>
      <c r="AJ347" s="4"/>
    </row>
    <row r="348" spans="1:36" ht="12.7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3"/>
      <c r="AI348" s="4"/>
      <c r="AJ348" s="4"/>
    </row>
    <row r="349" spans="1:36" ht="12.75"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3"/>
      <c r="AI349" s="4"/>
      <c r="AJ349" s="4"/>
    </row>
    <row r="350" spans="1:36" ht="12.75"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3"/>
      <c r="AI350" s="4"/>
      <c r="AJ350" s="4"/>
    </row>
    <row r="351" spans="1:36" ht="12.75"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3"/>
      <c r="AI351" s="4"/>
      <c r="AJ351" s="4"/>
    </row>
    <row r="352" spans="1:36" ht="12.7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3"/>
      <c r="AI352" s="4"/>
      <c r="AJ352" s="4"/>
    </row>
    <row r="353" spans="1:36" ht="12.75"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3"/>
      <c r="AI353" s="4"/>
      <c r="AJ353" s="4"/>
    </row>
    <row r="354" spans="1:36" ht="12.75"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3"/>
      <c r="AI354" s="4"/>
      <c r="AJ354" s="4"/>
    </row>
    <row r="355" spans="1:36" ht="12.75"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3"/>
      <c r="AI355" s="4"/>
      <c r="AJ355" s="4"/>
    </row>
    <row r="356" spans="1:36" ht="12.75"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3"/>
      <c r="AI356" s="4"/>
      <c r="AJ356" s="4"/>
    </row>
    <row r="357" spans="1:36" ht="12.75"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3"/>
      <c r="AI357" s="4"/>
      <c r="AJ357" s="4"/>
    </row>
    <row r="358" spans="1:36" ht="12.75"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3"/>
      <c r="AI358" s="4"/>
      <c r="AJ358" s="4"/>
    </row>
    <row r="359" spans="1:36" ht="12.75"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3"/>
      <c r="AI359" s="4"/>
      <c r="AJ359" s="4"/>
    </row>
    <row r="360" spans="1:36" ht="12.75"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3"/>
      <c r="AI360" s="4"/>
      <c r="AJ360" s="4"/>
    </row>
    <row r="361" spans="1:36" ht="12.75"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3"/>
      <c r="AI361" s="4"/>
      <c r="AJ361" s="4"/>
    </row>
    <row r="362" spans="1:36" ht="12.75"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3"/>
      <c r="AI362" s="4"/>
      <c r="AJ362" s="4"/>
    </row>
    <row r="363" spans="1:36" ht="12.75"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3"/>
      <c r="AI363" s="4"/>
      <c r="AJ363" s="4"/>
    </row>
    <row r="364" spans="1:36" ht="12.75"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3"/>
      <c r="AI364" s="4"/>
      <c r="AJ364" s="4"/>
    </row>
    <row r="365" spans="1:36" ht="12.75"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3"/>
      <c r="AI365" s="4"/>
      <c r="AJ365" s="4"/>
    </row>
    <row r="366" spans="1:36" ht="12.75"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3"/>
      <c r="AI366" s="4"/>
      <c r="AJ366" s="4"/>
    </row>
    <row r="367" spans="1:36" ht="12.75"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3"/>
      <c r="AI367" s="4"/>
      <c r="AJ367" s="4"/>
    </row>
    <row r="368" spans="1:36" ht="12.75"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3"/>
      <c r="AI368" s="4"/>
      <c r="AJ368" s="4"/>
    </row>
    <row r="369" spans="1:36" ht="12.75"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3"/>
      <c r="AI369" s="4"/>
      <c r="AJ369" s="4"/>
    </row>
    <row r="370" spans="1:36" ht="12.75"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3"/>
      <c r="AI370" s="4"/>
      <c r="AJ370" s="4"/>
    </row>
    <row r="371" spans="1:36" ht="12.75"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3"/>
      <c r="AI371" s="4"/>
      <c r="AJ371" s="4"/>
    </row>
    <row r="372" spans="1:36" ht="12.75"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3"/>
      <c r="AI372" s="4"/>
      <c r="AJ372" s="4"/>
    </row>
    <row r="373" spans="1:36" ht="12.75"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3"/>
      <c r="AI373" s="4"/>
      <c r="AJ373" s="4"/>
    </row>
    <row r="374" spans="1:36" ht="12.75"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3"/>
      <c r="AI374" s="4"/>
      <c r="AJ374" s="4"/>
    </row>
    <row r="375" spans="1:36" ht="12.75"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3"/>
      <c r="AI375" s="4"/>
      <c r="AJ375" s="4"/>
    </row>
    <row r="376" spans="1:36" ht="12.75"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3"/>
      <c r="AI376" s="4"/>
      <c r="AJ376" s="4"/>
    </row>
    <row r="377" spans="1:36" ht="12.75"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3"/>
      <c r="AI377" s="4"/>
      <c r="AJ377" s="4"/>
    </row>
    <row r="378" spans="1:36" ht="12.75"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3"/>
      <c r="AI378" s="4"/>
      <c r="AJ378" s="4"/>
    </row>
    <row r="379" spans="1:36" ht="12.75"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3"/>
      <c r="AI379" s="4"/>
      <c r="AJ379" s="4"/>
    </row>
    <row r="380" spans="1:36" ht="12.75"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3"/>
      <c r="AI380" s="4"/>
      <c r="AJ380" s="4"/>
    </row>
    <row r="381" spans="1:36" ht="12.75"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3"/>
      <c r="AI381" s="4"/>
      <c r="AJ381" s="4"/>
    </row>
    <row r="382" spans="1:36" ht="12.75"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3"/>
      <c r="AI382" s="4"/>
      <c r="AJ382" s="4"/>
    </row>
    <row r="383" spans="1:36" ht="12.75"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3"/>
      <c r="AI383" s="4"/>
      <c r="AJ383" s="4"/>
    </row>
    <row r="384" spans="1:36" ht="12.75"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3"/>
      <c r="AI384" s="4"/>
      <c r="AJ384" s="4"/>
    </row>
    <row r="385" spans="1:36" ht="12.75"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3"/>
      <c r="AI385" s="4"/>
      <c r="AJ385" s="4"/>
    </row>
    <row r="386" spans="1:36" ht="12.75"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3"/>
      <c r="AI386" s="4"/>
      <c r="AJ386" s="4"/>
    </row>
    <row r="387" spans="1:36" ht="12.75"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3"/>
      <c r="AI387" s="4"/>
      <c r="AJ387" s="4"/>
    </row>
    <row r="388" spans="1:36" ht="12.75"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3"/>
      <c r="AI388" s="4"/>
      <c r="AJ388" s="4"/>
    </row>
    <row r="389" spans="1:36" ht="12.75"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3"/>
      <c r="AI389" s="4"/>
      <c r="AJ389" s="4"/>
    </row>
    <row r="390" spans="1:36" ht="12.75"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3"/>
      <c r="AI390" s="4"/>
      <c r="AJ390" s="4"/>
    </row>
    <row r="391" spans="1:36" ht="12.75"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3"/>
      <c r="AI391" s="4"/>
      <c r="AJ391" s="4"/>
    </row>
    <row r="392" spans="1:36" ht="12.75"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3"/>
      <c r="AI392" s="4"/>
      <c r="AJ392" s="4"/>
    </row>
    <row r="393" spans="1:36" ht="12.75"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3"/>
      <c r="AI393" s="4"/>
      <c r="AJ393" s="4"/>
    </row>
    <row r="394" spans="1:36" ht="12.75"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3"/>
      <c r="AI394" s="4"/>
      <c r="AJ394" s="4"/>
    </row>
    <row r="395" spans="1:36" ht="12.75"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3"/>
      <c r="AI395" s="4"/>
      <c r="AJ395" s="4"/>
    </row>
    <row r="396" spans="1:36" ht="12.75"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3"/>
      <c r="AI396" s="4"/>
      <c r="AJ396" s="4"/>
    </row>
    <row r="397" spans="1:36" ht="12.75"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3"/>
      <c r="AI397" s="4"/>
      <c r="AJ397" s="4"/>
    </row>
    <row r="398" spans="1:36" ht="12.75"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3"/>
      <c r="AI398" s="4"/>
      <c r="AJ398" s="4"/>
    </row>
    <row r="399" spans="1:36" ht="12.75"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3"/>
      <c r="AI399" s="4"/>
      <c r="AJ399" s="4"/>
    </row>
    <row r="400" spans="1:36" ht="12.75"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3"/>
      <c r="AI400" s="4"/>
      <c r="AJ400" s="4"/>
    </row>
    <row r="401" spans="1:36" ht="12.75"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3"/>
      <c r="AI401" s="4"/>
      <c r="AJ401" s="4"/>
    </row>
    <row r="402" spans="1:36" ht="12.75"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3"/>
      <c r="AI402" s="4"/>
      <c r="AJ402" s="4"/>
    </row>
    <row r="403" spans="1:36" ht="12.75"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3"/>
      <c r="AI403" s="4"/>
      <c r="AJ403" s="4"/>
    </row>
    <row r="404" spans="1:36" ht="12.75"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3"/>
      <c r="AI404" s="4"/>
      <c r="AJ404" s="4"/>
    </row>
    <row r="405" spans="1:36" ht="12.75"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3"/>
      <c r="AI405" s="4"/>
      <c r="AJ405" s="4"/>
    </row>
    <row r="406" spans="1:36" ht="12.75"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3"/>
      <c r="AI406" s="4"/>
      <c r="AJ406" s="4"/>
    </row>
    <row r="407" spans="1:36" ht="12.75"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3"/>
      <c r="AI407" s="4"/>
      <c r="AJ407" s="4"/>
    </row>
    <row r="408" spans="1:36" ht="12.75"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3"/>
      <c r="AI408" s="4"/>
      <c r="AJ408" s="4"/>
    </row>
    <row r="409" spans="1:36" ht="12.75"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3"/>
      <c r="AI409" s="4"/>
      <c r="AJ409" s="4"/>
    </row>
    <row r="410" spans="1:36" ht="12.75"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3"/>
      <c r="AI410" s="4"/>
      <c r="AJ410" s="4"/>
    </row>
    <row r="411" spans="1:36" ht="12.75"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3"/>
      <c r="AI411" s="4"/>
      <c r="AJ411" s="4"/>
    </row>
    <row r="412" spans="1:36" ht="12.75"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3"/>
      <c r="AI412" s="4"/>
      <c r="AJ412" s="4"/>
    </row>
    <row r="413" spans="1:36" ht="12.75"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3"/>
      <c r="AI413" s="4"/>
      <c r="AJ413" s="4"/>
    </row>
    <row r="414" spans="1:36" ht="12.75"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3"/>
      <c r="AI414" s="4"/>
      <c r="AJ414" s="4"/>
    </row>
    <row r="415" spans="1:36" ht="12.75"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3"/>
      <c r="AI415" s="4"/>
      <c r="AJ415" s="4"/>
    </row>
    <row r="416" spans="1:36" ht="12.75"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3"/>
      <c r="AI416" s="4"/>
      <c r="AJ416" s="4"/>
    </row>
    <row r="417" spans="1:36" ht="12.75"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3"/>
      <c r="AI417" s="4"/>
      <c r="AJ417" s="4"/>
    </row>
    <row r="418" spans="1:36" ht="12.75"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3"/>
      <c r="AI418" s="4"/>
      <c r="AJ418" s="4"/>
    </row>
    <row r="419" spans="1:36" ht="12.75"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3"/>
      <c r="AI419" s="4"/>
      <c r="AJ419" s="4"/>
    </row>
    <row r="420" spans="1:36" ht="12.75"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3"/>
      <c r="AI420" s="4"/>
      <c r="AJ420" s="4"/>
    </row>
    <row r="421" spans="1:36" ht="12.75"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3"/>
      <c r="AI421" s="4"/>
      <c r="AJ421" s="4"/>
    </row>
    <row r="422" spans="1:36" ht="12.75"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3"/>
      <c r="AI422" s="4"/>
      <c r="AJ422" s="4"/>
    </row>
    <row r="423" spans="1:36" ht="12.75"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3"/>
      <c r="AI423" s="4"/>
      <c r="AJ423" s="4"/>
    </row>
    <row r="424" spans="1:36" ht="12.75"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3"/>
      <c r="AI424" s="4"/>
      <c r="AJ424" s="4"/>
    </row>
    <row r="425" spans="1:36" ht="12.75"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3"/>
      <c r="AI425" s="4"/>
      <c r="AJ425" s="4"/>
    </row>
    <row r="426" spans="1:36" ht="12.75"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3"/>
      <c r="AI426" s="4"/>
      <c r="AJ426" s="4"/>
    </row>
    <row r="427" spans="1:36" ht="12.75"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3"/>
      <c r="AI427" s="4"/>
      <c r="AJ427" s="4"/>
    </row>
    <row r="428" spans="1:36" ht="12.75"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3"/>
      <c r="AI428" s="4"/>
      <c r="AJ428" s="4"/>
    </row>
    <row r="429" spans="1:36" ht="12.75"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3"/>
      <c r="AI429" s="4"/>
      <c r="AJ429" s="4"/>
    </row>
    <row r="430" spans="1:36" ht="12.75"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3"/>
      <c r="AI430" s="4"/>
      <c r="AJ430" s="4"/>
    </row>
    <row r="431" spans="1:36" ht="12.75"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3"/>
      <c r="AI431" s="4"/>
      <c r="AJ431" s="4"/>
    </row>
    <row r="432" spans="1:36" ht="12.75"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3"/>
      <c r="AI432" s="4"/>
      <c r="AJ432" s="4"/>
    </row>
    <row r="433" spans="1:36" ht="12.75"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3"/>
      <c r="AI433" s="4"/>
      <c r="AJ433" s="4"/>
    </row>
    <row r="434" spans="1:36" ht="12.75"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3"/>
      <c r="AI434" s="4"/>
      <c r="AJ434" s="4"/>
    </row>
    <row r="435" spans="1:36" ht="12.75"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3"/>
      <c r="AI435" s="4"/>
      <c r="AJ435" s="4"/>
    </row>
    <row r="436" spans="1:36" ht="12.75"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3"/>
      <c r="AI436" s="4"/>
      <c r="AJ436" s="4"/>
    </row>
    <row r="437" spans="1:36" ht="12.75"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3"/>
      <c r="AI437" s="4"/>
      <c r="AJ437" s="4"/>
    </row>
    <row r="438" spans="1:36" ht="12.75"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3"/>
      <c r="AI438" s="4"/>
      <c r="AJ438" s="4"/>
    </row>
    <row r="439" spans="1:36" ht="12.75"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3"/>
      <c r="AI439" s="4"/>
      <c r="AJ439" s="4"/>
    </row>
    <row r="440" spans="1:36" ht="12.75"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3"/>
      <c r="AI440" s="4"/>
      <c r="AJ440" s="4"/>
    </row>
    <row r="441" spans="1:36" ht="12.75"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3"/>
      <c r="AI441" s="4"/>
      <c r="AJ441" s="4"/>
    </row>
    <row r="442" spans="1:36" ht="12.75"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3"/>
      <c r="AI442" s="4"/>
      <c r="AJ442" s="4"/>
    </row>
    <row r="443" spans="1:36" ht="12.75"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3"/>
      <c r="AI443" s="4"/>
      <c r="AJ443" s="4"/>
    </row>
    <row r="444" spans="1:36" ht="12.75"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3"/>
      <c r="AI444" s="4"/>
      <c r="AJ444" s="4"/>
    </row>
    <row r="445" spans="1:36" ht="12.75"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3"/>
      <c r="AI445" s="4"/>
      <c r="AJ445" s="4"/>
    </row>
    <row r="446" spans="1:36" ht="12.75"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3"/>
      <c r="AI446" s="4"/>
      <c r="AJ446" s="4"/>
    </row>
    <row r="447" spans="1:36" ht="12.75"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3"/>
      <c r="AI447" s="4"/>
      <c r="AJ447" s="4"/>
    </row>
    <row r="448" spans="1:36" ht="12.75"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3"/>
      <c r="AI448" s="4"/>
      <c r="AJ448" s="4"/>
    </row>
    <row r="449" spans="1:36" ht="12.75"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3"/>
      <c r="AI449" s="4"/>
      <c r="AJ449" s="4"/>
    </row>
    <row r="450" spans="1:36" ht="12.75"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3"/>
      <c r="AI450" s="4"/>
      <c r="AJ450" s="4"/>
    </row>
    <row r="451" spans="1:36" ht="12.75"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3"/>
      <c r="AI451" s="4"/>
      <c r="AJ451" s="4"/>
    </row>
    <row r="452" spans="1:36" ht="12.75"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3"/>
      <c r="AI452" s="4"/>
      <c r="AJ452" s="4"/>
    </row>
    <row r="453" spans="1:36" ht="12.75"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3"/>
      <c r="AI453" s="4"/>
      <c r="AJ453" s="4"/>
    </row>
    <row r="454" spans="1:36" ht="12.75"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3"/>
      <c r="AI454" s="4"/>
      <c r="AJ454" s="4"/>
    </row>
    <row r="455" spans="1:36" ht="12.75"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3"/>
      <c r="AI455" s="4"/>
      <c r="AJ455" s="4"/>
    </row>
    <row r="456" spans="1:36" ht="12.75"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3"/>
      <c r="AI456" s="4"/>
      <c r="AJ456" s="4"/>
    </row>
    <row r="457" spans="1:36" ht="12.75"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3"/>
      <c r="AI457" s="4"/>
      <c r="AJ457" s="4"/>
    </row>
    <row r="458" spans="1:36" ht="12.75"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3"/>
      <c r="AI458" s="4"/>
      <c r="AJ458" s="4"/>
    </row>
    <row r="459" spans="1:36" ht="12.75"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3"/>
      <c r="AI459" s="4"/>
      <c r="AJ459" s="4"/>
    </row>
    <row r="460" spans="1:36" ht="12.75"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3"/>
      <c r="AI460" s="4"/>
      <c r="AJ460" s="4"/>
    </row>
    <row r="461" spans="1:36" ht="12.75"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3"/>
      <c r="AI461" s="4"/>
      <c r="AJ461" s="4"/>
    </row>
    <row r="462" spans="1:36" ht="12.75"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3"/>
      <c r="AI462" s="4"/>
      <c r="AJ462" s="4"/>
    </row>
    <row r="463" spans="1:36" ht="12.75"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3"/>
      <c r="AI463" s="4"/>
      <c r="AJ463" s="4"/>
    </row>
    <row r="464" spans="1:36" ht="12.75"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3"/>
      <c r="AI464" s="4"/>
      <c r="AJ464" s="4"/>
    </row>
    <row r="465" spans="1:36" ht="12.75"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3"/>
      <c r="AI465" s="4"/>
      <c r="AJ465" s="4"/>
    </row>
    <row r="466" spans="1:36" ht="12.75"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3"/>
      <c r="AI466" s="4"/>
      <c r="AJ466" s="4"/>
    </row>
    <row r="467" spans="1:36" ht="12.75"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3"/>
      <c r="AI467" s="4"/>
      <c r="AJ467" s="4"/>
    </row>
    <row r="468" spans="1:36" ht="12.75"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3"/>
      <c r="AI468" s="4"/>
      <c r="AJ468" s="4"/>
    </row>
    <row r="469" spans="1:36" ht="12.75"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3"/>
      <c r="AI469" s="4"/>
      <c r="AJ469" s="4"/>
    </row>
    <row r="470" spans="1:36" ht="12.75"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3"/>
      <c r="AI470" s="4"/>
      <c r="AJ470" s="4"/>
    </row>
    <row r="471" spans="1:36" ht="12.75"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3"/>
      <c r="AI471" s="4"/>
      <c r="AJ471" s="4"/>
    </row>
    <row r="472" spans="1:36" ht="12.75"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3"/>
      <c r="AI472" s="4"/>
      <c r="AJ472" s="4"/>
    </row>
    <row r="473" spans="1:36" ht="12.75"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3"/>
      <c r="AI473" s="4"/>
      <c r="AJ473" s="4"/>
    </row>
    <row r="474" spans="1:36" ht="12.75"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3"/>
      <c r="AI474" s="4"/>
      <c r="AJ474" s="4"/>
    </row>
    <row r="475" spans="1:36" ht="12.75"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3"/>
      <c r="AI475" s="4"/>
      <c r="AJ475" s="4"/>
    </row>
    <row r="476" spans="1:36" ht="12.75"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3"/>
      <c r="AI476" s="4"/>
      <c r="AJ476" s="4"/>
    </row>
    <row r="477" spans="1:36" ht="12.75"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3"/>
      <c r="AI477" s="4"/>
      <c r="AJ477" s="4"/>
    </row>
    <row r="478" spans="1:36" ht="12.75"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3"/>
      <c r="AI478" s="4"/>
      <c r="AJ478" s="4"/>
    </row>
    <row r="479" spans="1:36" ht="12.75"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3"/>
      <c r="AI479" s="4"/>
      <c r="AJ479" s="4"/>
    </row>
    <row r="480" spans="1:36" ht="12.75"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3"/>
      <c r="AI480" s="4"/>
      <c r="AJ480" s="4"/>
    </row>
    <row r="481" spans="1:36" ht="12.75"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3"/>
      <c r="AI481" s="4"/>
      <c r="AJ481" s="4"/>
    </row>
    <row r="482" spans="1:36" ht="12.75"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3"/>
      <c r="AI482" s="4"/>
      <c r="AJ482" s="4"/>
    </row>
    <row r="483" spans="1:36" ht="12.75"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3"/>
      <c r="AI483" s="4"/>
      <c r="AJ483" s="4"/>
    </row>
    <row r="484" spans="1:36" ht="12.75"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3"/>
      <c r="AI484" s="4"/>
      <c r="AJ484" s="4"/>
    </row>
    <row r="485" spans="1:36" ht="12.75"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3"/>
      <c r="AI485" s="4"/>
      <c r="AJ485" s="4"/>
    </row>
    <row r="486" spans="1:36" ht="12.75"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3"/>
      <c r="AI486" s="4"/>
      <c r="AJ486" s="4"/>
    </row>
    <row r="487" spans="1:36" ht="12.75"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3"/>
      <c r="AI487" s="4"/>
      <c r="AJ487" s="4"/>
    </row>
    <row r="488" spans="1:36" ht="12.75"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3"/>
      <c r="AI488" s="4"/>
      <c r="AJ488" s="4"/>
    </row>
    <row r="489" spans="1:36" ht="12.75"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3"/>
      <c r="AI489" s="4"/>
      <c r="AJ489" s="4"/>
    </row>
    <row r="490" spans="1:36" ht="12.75"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3"/>
      <c r="AI490" s="4"/>
      <c r="AJ490" s="4"/>
    </row>
    <row r="491" spans="1:36" ht="12.75"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3"/>
      <c r="AI491" s="4"/>
      <c r="AJ491" s="4"/>
    </row>
    <row r="492" spans="1:36" ht="12.75"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3"/>
      <c r="AI492" s="4"/>
      <c r="AJ492" s="4"/>
    </row>
    <row r="493" spans="1:36" ht="12.75"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3"/>
      <c r="AI493" s="4"/>
      <c r="AJ493" s="4"/>
    </row>
    <row r="494" spans="1:36" ht="12.75"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3"/>
      <c r="AI494" s="4"/>
      <c r="AJ494" s="4"/>
    </row>
    <row r="495" spans="1:36" ht="12.75"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3"/>
      <c r="AI495" s="4"/>
      <c r="AJ495" s="4"/>
    </row>
    <row r="496" spans="1:36" ht="12.75"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3"/>
      <c r="AI496" s="4"/>
      <c r="AJ496" s="4"/>
    </row>
    <row r="497" spans="1:36" ht="12.75"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3"/>
      <c r="AI497" s="4"/>
      <c r="AJ497" s="4"/>
    </row>
    <row r="498" spans="1:36" ht="12.75"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3"/>
      <c r="AI498" s="4"/>
      <c r="AJ498" s="4"/>
    </row>
    <row r="499" spans="1:36" ht="12.75"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3"/>
      <c r="AI499" s="4"/>
      <c r="AJ499" s="4"/>
    </row>
    <row r="500" spans="1:36" ht="12.75"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3"/>
      <c r="AI500" s="4"/>
      <c r="AJ500" s="4"/>
    </row>
    <row r="501" spans="1:36" ht="12.75"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3"/>
      <c r="AI501" s="4"/>
      <c r="AJ501" s="4"/>
    </row>
    <row r="502" spans="1:36" ht="12.75"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3"/>
      <c r="AI502" s="4"/>
      <c r="AJ502" s="4"/>
    </row>
    <row r="503" spans="1:36" ht="12.75"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3"/>
      <c r="AI503" s="4"/>
      <c r="AJ503" s="4"/>
    </row>
    <row r="504" spans="1:36" ht="12.75"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3"/>
      <c r="AI504" s="4"/>
      <c r="AJ504" s="4"/>
    </row>
    <row r="505" spans="1:36" ht="12.75"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3"/>
      <c r="AI505" s="4"/>
      <c r="AJ505" s="4"/>
    </row>
    <row r="506" spans="1:36" ht="12.75"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3"/>
      <c r="AI506" s="4"/>
      <c r="AJ506" s="4"/>
    </row>
    <row r="507" spans="1:36" ht="12.75"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3"/>
      <c r="AI507" s="4"/>
      <c r="AJ507" s="4"/>
    </row>
    <row r="508" spans="1:36" ht="12.75"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3"/>
      <c r="AI508" s="4"/>
      <c r="AJ508" s="4"/>
    </row>
    <row r="509" spans="1:36" ht="12.75"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3"/>
      <c r="AI509" s="4"/>
      <c r="AJ509" s="4"/>
    </row>
    <row r="510" spans="1:36" ht="12.75"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3"/>
      <c r="AI510" s="4"/>
      <c r="AJ510" s="4"/>
    </row>
    <row r="511" spans="1:36" ht="12.75"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3"/>
      <c r="AI511" s="4"/>
      <c r="AJ511" s="4"/>
    </row>
    <row r="512" spans="1:36" ht="12.75"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3"/>
      <c r="AI512" s="4"/>
      <c r="AJ512" s="4"/>
    </row>
    <row r="513" spans="1:36" ht="12.75"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3"/>
      <c r="AI513" s="4"/>
      <c r="AJ513" s="4"/>
    </row>
    <row r="514" spans="1:36" ht="12.75"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3"/>
      <c r="AI514" s="4"/>
      <c r="AJ514" s="4"/>
    </row>
    <row r="515" spans="1:36" ht="12.75"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3"/>
      <c r="AI515" s="4"/>
      <c r="AJ515" s="4"/>
    </row>
    <row r="516" spans="1:36" ht="12.75"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3"/>
      <c r="AI516" s="4"/>
      <c r="AJ516" s="4"/>
    </row>
    <row r="517" spans="1:36" ht="12.75"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3"/>
      <c r="AI517" s="4"/>
      <c r="AJ517" s="4"/>
    </row>
    <row r="518" spans="1:36" ht="12.75"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3"/>
      <c r="AI518" s="4"/>
      <c r="AJ518" s="4"/>
    </row>
    <row r="519" spans="1:36" ht="12.75"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3"/>
      <c r="AI519" s="4"/>
      <c r="AJ519" s="4"/>
    </row>
    <row r="520" spans="1:36" ht="12.75"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3"/>
      <c r="AI520" s="4"/>
      <c r="AJ520" s="4"/>
    </row>
    <row r="521" spans="1:36" ht="12.75"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3"/>
      <c r="AI521" s="4"/>
      <c r="AJ521" s="4"/>
    </row>
    <row r="522" spans="1:36" ht="12.75"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3"/>
      <c r="AI522" s="4"/>
      <c r="AJ522" s="4"/>
    </row>
    <row r="523" spans="1:36" ht="12.75"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3"/>
      <c r="AI523" s="4"/>
      <c r="AJ523" s="4"/>
    </row>
    <row r="524" spans="1:36" ht="12.75"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3"/>
      <c r="AI524" s="4"/>
      <c r="AJ524" s="4"/>
    </row>
    <row r="525" spans="1:36" ht="12.75"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3"/>
      <c r="AI525" s="4"/>
      <c r="AJ525" s="4"/>
    </row>
    <row r="526" spans="1:36" ht="12.75"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3"/>
      <c r="AI526" s="4"/>
      <c r="AJ526" s="4"/>
    </row>
    <row r="527" spans="1:36" ht="12.75"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3"/>
      <c r="AI527" s="4"/>
      <c r="AJ527" s="4"/>
    </row>
    <row r="528" spans="1:36" ht="12.75"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3"/>
      <c r="AI528" s="4"/>
      <c r="AJ528" s="4"/>
    </row>
    <row r="529" spans="1:36" ht="12.75"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3"/>
      <c r="AI529" s="4"/>
      <c r="AJ529" s="4"/>
    </row>
    <row r="530" spans="1:36" ht="12.75"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3"/>
      <c r="AI530" s="4"/>
      <c r="AJ530" s="4"/>
    </row>
    <row r="531" spans="1:36" ht="12.75"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3"/>
      <c r="AI531" s="4"/>
      <c r="AJ531" s="4"/>
    </row>
    <row r="532" spans="1:36" ht="12.75"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3"/>
      <c r="AI532" s="4"/>
      <c r="AJ532" s="4"/>
    </row>
    <row r="533" spans="1:36" ht="12.75"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3"/>
      <c r="AI533" s="4"/>
      <c r="AJ533" s="4"/>
    </row>
    <row r="534" spans="1:36" ht="12.75"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3"/>
      <c r="AI534" s="4"/>
      <c r="AJ534" s="4"/>
    </row>
    <row r="535" spans="1:36" ht="12.75"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3"/>
      <c r="AI535" s="4"/>
      <c r="AJ535" s="4"/>
    </row>
    <row r="536" spans="1:36" ht="12.75"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3"/>
      <c r="AI536" s="4"/>
      <c r="AJ536" s="4"/>
    </row>
    <row r="537" spans="1:36" ht="12.75"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3"/>
      <c r="AI537" s="4"/>
      <c r="AJ537" s="4"/>
    </row>
    <row r="538" spans="1:36" ht="12.75"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3"/>
      <c r="AI538" s="4"/>
      <c r="AJ538" s="4"/>
    </row>
    <row r="539" spans="1:36" ht="12.75"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3"/>
      <c r="AI539" s="4"/>
      <c r="AJ539" s="4"/>
    </row>
    <row r="540" spans="1:36" ht="12.75"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3"/>
      <c r="AI540" s="4"/>
      <c r="AJ540" s="4"/>
    </row>
    <row r="541" spans="1:36" ht="12.75"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3"/>
      <c r="AI541" s="4"/>
      <c r="AJ541" s="4"/>
    </row>
    <row r="542" spans="1:36" ht="12.75"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3"/>
      <c r="AI542" s="4"/>
      <c r="AJ542" s="4"/>
    </row>
    <row r="543" spans="1:36" ht="12.75"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3"/>
      <c r="AI543" s="4"/>
      <c r="AJ543" s="4"/>
    </row>
    <row r="544" spans="1:36" ht="12.75"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3"/>
      <c r="AI544" s="4"/>
      <c r="AJ544" s="4"/>
    </row>
    <row r="545" spans="1:36" ht="12.75"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3"/>
      <c r="AI545" s="4"/>
      <c r="AJ545" s="4"/>
    </row>
    <row r="546" spans="1:36" ht="12.75"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3"/>
      <c r="AI546" s="4"/>
      <c r="AJ546" s="4"/>
    </row>
    <row r="547" spans="1:36" ht="12.75"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3"/>
      <c r="AI547" s="4"/>
      <c r="AJ547" s="4"/>
    </row>
    <row r="548" spans="1:36" ht="12.75"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3"/>
      <c r="AI548" s="4"/>
      <c r="AJ548" s="4"/>
    </row>
    <row r="549" spans="1:36" ht="12.75"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3"/>
      <c r="AI549" s="4"/>
      <c r="AJ549" s="4"/>
    </row>
    <row r="550" spans="1:36" ht="12.75"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3"/>
      <c r="AI550" s="4"/>
      <c r="AJ550" s="4"/>
    </row>
    <row r="551" spans="1:36" ht="12.75"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3"/>
      <c r="AI551" s="4"/>
      <c r="AJ551" s="4"/>
    </row>
    <row r="552" spans="1:36" ht="12.75"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3"/>
      <c r="AI552" s="4"/>
      <c r="AJ552" s="4"/>
    </row>
    <row r="553" spans="1:36" ht="12.75"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3"/>
      <c r="AI553" s="4"/>
      <c r="AJ553" s="4"/>
    </row>
    <row r="554" spans="1:36" ht="12.75"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3"/>
      <c r="AI554" s="4"/>
      <c r="AJ554" s="4"/>
    </row>
    <row r="555" spans="1:36" ht="12.75"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3"/>
      <c r="AI555" s="4"/>
      <c r="AJ555" s="4"/>
    </row>
    <row r="556" spans="1:36" ht="12.75"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3"/>
      <c r="AI556" s="4"/>
      <c r="AJ556" s="4"/>
    </row>
    <row r="557" spans="1:36" ht="12.75"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3"/>
      <c r="AI557" s="4"/>
      <c r="AJ557" s="4"/>
    </row>
    <row r="558" spans="1:36" ht="12.75"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3"/>
      <c r="AI558" s="4"/>
      <c r="AJ558" s="4"/>
    </row>
    <row r="559" spans="1:36" ht="12.75"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3"/>
      <c r="AI559" s="4"/>
      <c r="AJ559" s="4"/>
    </row>
    <row r="560" spans="1:36" ht="12.75"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3"/>
      <c r="AI560" s="4"/>
      <c r="AJ560" s="4"/>
    </row>
    <row r="561" spans="1:36" ht="12.75"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3"/>
      <c r="AI561" s="4"/>
      <c r="AJ561" s="4"/>
    </row>
    <row r="562" spans="1:36" ht="12.75"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3"/>
      <c r="AI562" s="4"/>
      <c r="AJ562" s="4"/>
    </row>
    <row r="563" spans="1:36" ht="12.75"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3"/>
      <c r="AI563" s="4"/>
      <c r="AJ563" s="4"/>
    </row>
    <row r="564" spans="1:36" ht="12.75"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3"/>
      <c r="AI564" s="4"/>
      <c r="AJ564" s="4"/>
    </row>
    <row r="565" spans="1:36" ht="12.75"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3"/>
      <c r="AI565" s="4"/>
      <c r="AJ565" s="4"/>
    </row>
    <row r="566" spans="1:36" ht="12.75"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3"/>
      <c r="AI566" s="4"/>
      <c r="AJ566" s="4"/>
    </row>
    <row r="567" spans="1:36" ht="12.75"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3"/>
      <c r="AI567" s="4"/>
      <c r="AJ567" s="4"/>
    </row>
    <row r="568" spans="1:36" ht="12.75"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3"/>
      <c r="AI568" s="4"/>
      <c r="AJ568" s="4"/>
    </row>
    <row r="569" spans="1:36" ht="12.75"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3"/>
      <c r="AI569" s="4"/>
      <c r="AJ569" s="4"/>
    </row>
    <row r="570" spans="1:36" ht="12.75"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3"/>
      <c r="AI570" s="4"/>
      <c r="AJ570" s="4"/>
    </row>
    <row r="571" spans="1:36" ht="12.75"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3"/>
      <c r="AI571" s="4"/>
      <c r="AJ571" s="4"/>
    </row>
    <row r="572" spans="1:36" ht="12.75"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3"/>
      <c r="AI572" s="4"/>
      <c r="AJ572" s="4"/>
    </row>
    <row r="573" spans="1:36" ht="12.75"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3"/>
      <c r="AI573" s="4"/>
      <c r="AJ573" s="4"/>
    </row>
    <row r="574" spans="1:36" ht="12.75"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3"/>
      <c r="AI574" s="4"/>
      <c r="AJ574" s="4"/>
    </row>
    <row r="575" spans="1:36" ht="12.75"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3"/>
      <c r="AI575" s="4"/>
      <c r="AJ575" s="4"/>
    </row>
    <row r="576" spans="1:36" ht="12.75"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3"/>
      <c r="AI576" s="4"/>
      <c r="AJ576" s="4"/>
    </row>
    <row r="577" spans="1:36" ht="12.75"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3"/>
      <c r="AI577" s="4"/>
      <c r="AJ577" s="4"/>
    </row>
    <row r="578" spans="1:36" ht="12.75"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3"/>
      <c r="AI578" s="4"/>
      <c r="AJ578" s="4"/>
    </row>
    <row r="579" spans="1:36" ht="12.75"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3"/>
      <c r="AI579" s="4"/>
      <c r="AJ579" s="4"/>
    </row>
    <row r="580" spans="1:36" ht="12.75"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3"/>
      <c r="AI580" s="4"/>
      <c r="AJ580" s="4"/>
    </row>
    <row r="581" spans="1:36" ht="12.75"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3"/>
      <c r="AI581" s="4"/>
      <c r="AJ581" s="4"/>
    </row>
    <row r="582" spans="1:36" ht="12.75"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3"/>
      <c r="AI582" s="4"/>
      <c r="AJ582" s="4"/>
    </row>
    <row r="583" spans="1:36" ht="12.75"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3"/>
      <c r="AI583" s="4"/>
      <c r="AJ583" s="4"/>
    </row>
    <row r="584" spans="1:36" ht="12.75"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3"/>
      <c r="AI584" s="4"/>
      <c r="AJ584" s="4"/>
    </row>
    <row r="585" spans="1:36" ht="12.75"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3"/>
      <c r="AI585" s="4"/>
      <c r="AJ585" s="4"/>
    </row>
    <row r="586" spans="1:36" ht="12.75"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3"/>
      <c r="AI586" s="4"/>
      <c r="AJ586" s="4"/>
    </row>
    <row r="587" spans="1:36" ht="12.75"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3"/>
      <c r="AI587" s="4"/>
      <c r="AJ587" s="4"/>
    </row>
    <row r="588" spans="1:36" ht="12.75"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3"/>
      <c r="AI588" s="4"/>
      <c r="AJ588" s="4"/>
    </row>
    <row r="589" spans="1:36" ht="12.75"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3"/>
      <c r="AI589" s="4"/>
      <c r="AJ589" s="4"/>
    </row>
    <row r="590" spans="1:36" ht="12.75"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3"/>
      <c r="AI590" s="4"/>
      <c r="AJ590" s="4"/>
    </row>
    <row r="591" spans="1:36" ht="12.75"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3"/>
      <c r="AI591" s="4"/>
      <c r="AJ591" s="4"/>
    </row>
    <row r="592" spans="1:36" ht="12.75"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3"/>
      <c r="AI592" s="4"/>
      <c r="AJ592" s="4"/>
    </row>
    <row r="593" spans="1:36" ht="12.75"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3"/>
      <c r="AI593" s="4"/>
      <c r="AJ593" s="4"/>
    </row>
    <row r="594" spans="1:36" ht="12.75"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3"/>
      <c r="AI594" s="4"/>
      <c r="AJ594" s="4"/>
    </row>
    <row r="595" spans="1:36" ht="12.75"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3"/>
      <c r="AI595" s="4"/>
      <c r="AJ595" s="4"/>
    </row>
    <row r="596" spans="1:36" ht="12.75"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3"/>
      <c r="AI596" s="4"/>
      <c r="AJ596" s="4"/>
    </row>
    <row r="597" spans="1:36" ht="12.75"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3"/>
      <c r="AI597" s="4"/>
      <c r="AJ597" s="4"/>
    </row>
    <row r="598" spans="1:36" ht="12.75"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3"/>
      <c r="AI598" s="4"/>
      <c r="AJ598" s="4"/>
    </row>
    <row r="599" spans="1:36" ht="12.75"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3"/>
      <c r="AI599" s="4"/>
      <c r="AJ599" s="4"/>
    </row>
    <row r="600" spans="1:36" ht="12.75"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3"/>
      <c r="AI600" s="4"/>
      <c r="AJ600" s="4"/>
    </row>
    <row r="601" spans="1:36" ht="12.75"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3"/>
      <c r="AI601" s="4"/>
      <c r="AJ601" s="4"/>
    </row>
    <row r="602" spans="1:36" ht="12.75"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3"/>
      <c r="AI602" s="4"/>
      <c r="AJ602" s="4"/>
    </row>
    <row r="603" spans="1:36" ht="12.75"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3"/>
      <c r="AI603" s="4"/>
      <c r="AJ603" s="4"/>
    </row>
    <row r="604" spans="1:36" ht="12.75"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3"/>
      <c r="AI604" s="4"/>
      <c r="AJ604" s="4"/>
    </row>
    <row r="605" spans="1:36" ht="12.75"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3"/>
      <c r="AI605" s="4"/>
      <c r="AJ605" s="4"/>
    </row>
    <row r="606" spans="1:36" ht="12.75"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3"/>
      <c r="AI606" s="4"/>
      <c r="AJ606" s="4"/>
    </row>
    <row r="607" spans="1:36" ht="12.75"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3"/>
      <c r="AI607" s="4"/>
      <c r="AJ607" s="4"/>
    </row>
    <row r="608" spans="1:36" ht="12.75"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3"/>
      <c r="AI608" s="4"/>
      <c r="AJ608" s="4"/>
    </row>
    <row r="609" spans="1:36" ht="12.75"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3"/>
      <c r="AI609" s="4"/>
      <c r="AJ609" s="4"/>
    </row>
    <row r="610" spans="1:36" ht="12.75"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3"/>
      <c r="AI610" s="4"/>
      <c r="AJ610" s="4"/>
    </row>
    <row r="611" spans="1:36" ht="12.75"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3"/>
      <c r="AI611" s="4"/>
      <c r="AJ611" s="4"/>
    </row>
    <row r="612" spans="1:36" ht="12.75"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3"/>
      <c r="AI612" s="4"/>
      <c r="AJ612" s="4"/>
    </row>
    <row r="613" spans="1:36" ht="12.75"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3"/>
      <c r="AI613" s="4"/>
      <c r="AJ613" s="4"/>
    </row>
    <row r="614" spans="1:36" ht="12.75"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3"/>
      <c r="AI614" s="4"/>
      <c r="AJ614" s="4"/>
    </row>
    <row r="615" spans="1:36" ht="12.75"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3"/>
      <c r="AI615" s="4"/>
      <c r="AJ615" s="4"/>
    </row>
    <row r="616" spans="1:36" ht="12.75"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3"/>
      <c r="AI616" s="4"/>
      <c r="AJ616" s="4"/>
    </row>
    <row r="617" spans="1:36" ht="12.75"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3"/>
      <c r="AI617" s="4"/>
      <c r="AJ617" s="4"/>
    </row>
    <row r="618" spans="1:36" ht="12.75"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3"/>
      <c r="AI618" s="4"/>
      <c r="AJ618" s="4"/>
    </row>
    <row r="619" spans="1:36" ht="12.75"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3"/>
      <c r="AI619" s="4"/>
      <c r="AJ619" s="4"/>
    </row>
    <row r="620" spans="1:36" ht="12.75"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3"/>
      <c r="AI620" s="4"/>
      <c r="AJ620" s="4"/>
    </row>
    <row r="621" spans="1:36" ht="12.75"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3"/>
      <c r="AI621" s="4"/>
      <c r="AJ621" s="4"/>
    </row>
    <row r="622" spans="1:36" ht="12.75"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3"/>
      <c r="AI622" s="4"/>
      <c r="AJ622" s="4"/>
    </row>
    <row r="623" spans="1:36" ht="12.75"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3"/>
      <c r="AI623" s="4"/>
      <c r="AJ623" s="4"/>
    </row>
    <row r="624" spans="1:36" ht="12.75"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3"/>
      <c r="AI624" s="4"/>
      <c r="AJ624" s="4"/>
    </row>
    <row r="625" spans="1:36" ht="12.75"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3"/>
      <c r="AI625" s="4"/>
      <c r="AJ625" s="4"/>
    </row>
    <row r="626" spans="1:36" ht="12.75"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3"/>
      <c r="AI626" s="4"/>
      <c r="AJ626" s="4"/>
    </row>
    <row r="627" spans="1:36" ht="12.75"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3"/>
      <c r="AI627" s="4"/>
      <c r="AJ627" s="4"/>
    </row>
    <row r="628" spans="1:36" ht="12.75"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3"/>
      <c r="AI628" s="4"/>
      <c r="AJ628" s="4"/>
    </row>
    <row r="629" spans="1:36" ht="12.75"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3"/>
      <c r="AI629" s="4"/>
      <c r="AJ629" s="4"/>
    </row>
    <row r="630" spans="1:36" ht="12.75"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3"/>
      <c r="AI630" s="4"/>
      <c r="AJ630" s="4"/>
    </row>
    <row r="631" spans="1:36" ht="12.75"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3"/>
      <c r="AI631" s="4"/>
      <c r="AJ631" s="4"/>
    </row>
    <row r="632" spans="1:36" ht="12.75"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3"/>
      <c r="AI632" s="4"/>
      <c r="AJ632" s="4"/>
    </row>
    <row r="633" spans="1:36" ht="12.75"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3"/>
      <c r="AI633" s="4"/>
      <c r="AJ633" s="4"/>
    </row>
    <row r="634" spans="1:36" ht="12.75"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3"/>
      <c r="AI634" s="4"/>
      <c r="AJ634" s="4"/>
    </row>
    <row r="635" spans="1:36" ht="12.75"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3"/>
      <c r="AI635" s="4"/>
      <c r="AJ635" s="4"/>
    </row>
    <row r="636" spans="1:36" ht="12.75"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3"/>
      <c r="AI636" s="4"/>
      <c r="AJ636" s="4"/>
    </row>
    <row r="637" spans="1:36" ht="12.75"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3"/>
      <c r="AI637" s="4"/>
      <c r="AJ637" s="4"/>
    </row>
    <row r="638" spans="1:36" ht="12.75"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3"/>
      <c r="AI638" s="4"/>
      <c r="AJ638" s="4"/>
    </row>
    <row r="639" spans="1:36" ht="12.75"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3"/>
      <c r="AI639" s="4"/>
      <c r="AJ639" s="4"/>
    </row>
    <row r="640" spans="1:36" ht="12.75"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3"/>
      <c r="AI640" s="4"/>
      <c r="AJ640" s="4"/>
    </row>
    <row r="641" spans="1:36" ht="12.75"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3"/>
      <c r="AI641" s="4"/>
      <c r="AJ641" s="4"/>
    </row>
    <row r="642" spans="1:36" ht="12.75"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3"/>
      <c r="AI642" s="4"/>
      <c r="AJ642" s="4"/>
    </row>
    <row r="643" spans="1:36" ht="12.75"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3"/>
      <c r="AI643" s="4"/>
      <c r="AJ643" s="4"/>
    </row>
    <row r="644" spans="1:36" ht="12.75"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3"/>
      <c r="AI644" s="4"/>
      <c r="AJ644" s="4"/>
    </row>
    <row r="645" spans="1:36" ht="12.75"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3"/>
      <c r="AI645" s="4"/>
      <c r="AJ645" s="4"/>
    </row>
    <row r="646" spans="1:36" ht="12.75"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3"/>
      <c r="AI646" s="4"/>
      <c r="AJ646" s="4"/>
    </row>
    <row r="647" spans="1:36" ht="12.75"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3"/>
      <c r="AI647" s="4"/>
      <c r="AJ647" s="4"/>
    </row>
    <row r="648" spans="1:36" ht="12.75"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3"/>
      <c r="AI648" s="4"/>
      <c r="AJ648" s="4"/>
    </row>
    <row r="649" spans="1:36" ht="12.75"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3"/>
      <c r="AI649" s="4"/>
      <c r="AJ649" s="4"/>
    </row>
    <row r="650" spans="1:36" ht="12.75"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3"/>
      <c r="AI650" s="4"/>
      <c r="AJ650" s="4"/>
    </row>
    <row r="651" spans="1:36" ht="12.75"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3"/>
      <c r="AI651" s="4"/>
      <c r="AJ651" s="4"/>
    </row>
    <row r="652" spans="1:36" ht="12.75"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3"/>
      <c r="AI652" s="4"/>
      <c r="AJ652" s="4"/>
    </row>
    <row r="653" spans="1:36" ht="12.75"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3"/>
      <c r="AI653" s="4"/>
      <c r="AJ653" s="4"/>
    </row>
    <row r="654" spans="1:36" ht="12.75"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3"/>
      <c r="AI654" s="4"/>
      <c r="AJ654" s="4"/>
    </row>
    <row r="655" spans="1:36" ht="12.75"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3"/>
      <c r="AI655" s="4"/>
      <c r="AJ655" s="4"/>
    </row>
    <row r="656" spans="1:36" ht="12.75"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3"/>
      <c r="AI656" s="4"/>
      <c r="AJ656" s="4"/>
    </row>
    <row r="657" spans="1:36" ht="12.75"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3"/>
      <c r="AI657" s="4"/>
      <c r="AJ657" s="4"/>
    </row>
    <row r="658" spans="1:36" ht="12.75"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3"/>
      <c r="AI658" s="4"/>
      <c r="AJ658" s="4"/>
    </row>
    <row r="659" spans="1:36" ht="12.75"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3"/>
      <c r="AI659" s="4"/>
      <c r="AJ659" s="4"/>
    </row>
    <row r="660" spans="1:36" ht="12.75"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3"/>
      <c r="AI660" s="4"/>
      <c r="AJ660" s="4"/>
    </row>
    <row r="661" spans="1:36" ht="12.75"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3"/>
      <c r="AI661" s="4"/>
      <c r="AJ661" s="4"/>
    </row>
    <row r="662" spans="1:36" ht="12.75"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3"/>
      <c r="AI662" s="4"/>
      <c r="AJ662" s="4"/>
    </row>
    <row r="663" spans="1:36" ht="12.75"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3"/>
      <c r="AI663" s="4"/>
      <c r="AJ663" s="4"/>
    </row>
    <row r="664" spans="1:36" ht="12.75"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3"/>
      <c r="AI664" s="4"/>
      <c r="AJ664" s="4"/>
    </row>
    <row r="665" spans="1:36" ht="12.75"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3"/>
      <c r="AI665" s="4"/>
      <c r="AJ665" s="4"/>
    </row>
    <row r="666" spans="1:36" ht="12.75"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3"/>
      <c r="AI666" s="4"/>
      <c r="AJ666" s="4"/>
    </row>
    <row r="667" spans="1:36" ht="12.75"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3"/>
      <c r="AI667" s="4"/>
      <c r="AJ667" s="4"/>
    </row>
    <row r="668" spans="1:36" ht="12.75"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3"/>
      <c r="AI668" s="4"/>
      <c r="AJ668" s="4"/>
    </row>
    <row r="669" spans="1:36" ht="12.75"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3"/>
      <c r="AI669" s="4"/>
      <c r="AJ669" s="4"/>
    </row>
    <row r="670" spans="1:36" ht="12.75"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3"/>
      <c r="AI670" s="4"/>
      <c r="AJ670" s="4"/>
    </row>
    <row r="671" spans="1:36" ht="12.75"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3"/>
      <c r="AI671" s="4"/>
      <c r="AJ671" s="4"/>
    </row>
    <row r="672" spans="1:36" ht="12.75"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3"/>
      <c r="AI672" s="4"/>
      <c r="AJ672" s="4"/>
    </row>
    <row r="673" spans="1:36" ht="12.75"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3"/>
      <c r="AI673" s="4"/>
      <c r="AJ673" s="4"/>
    </row>
    <row r="674" spans="1:36" ht="12.75"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3"/>
      <c r="AI674" s="4"/>
      <c r="AJ674" s="4"/>
    </row>
    <row r="675" spans="1:36" ht="12.75"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3"/>
      <c r="AI675" s="4"/>
      <c r="AJ675" s="4"/>
    </row>
    <row r="676" spans="1:36" ht="12.75"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3"/>
      <c r="AI676" s="4"/>
      <c r="AJ676" s="4"/>
    </row>
    <row r="677" spans="1:36" ht="12.75"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3"/>
      <c r="AI677" s="4"/>
      <c r="AJ677" s="4"/>
    </row>
    <row r="678" spans="1:36" ht="12.75"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3"/>
      <c r="AI678" s="4"/>
      <c r="AJ678" s="4"/>
    </row>
    <row r="679" spans="1:36" ht="12.75"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3"/>
      <c r="AI679" s="4"/>
      <c r="AJ679" s="4"/>
    </row>
    <row r="680" spans="1:36" ht="12.75"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3"/>
      <c r="AI680" s="4"/>
      <c r="AJ680" s="4"/>
    </row>
    <row r="681" spans="1:36" ht="12.75"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3"/>
      <c r="AI681" s="4"/>
      <c r="AJ681" s="4"/>
    </row>
    <row r="682" spans="1:36" ht="12.75"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3"/>
      <c r="AI682" s="4"/>
      <c r="AJ682" s="4"/>
    </row>
    <row r="683" spans="1:36" ht="12.75"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3"/>
      <c r="AI683" s="4"/>
      <c r="AJ683" s="4"/>
    </row>
    <row r="684" spans="1:36" ht="12.75"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3"/>
      <c r="AI684" s="4"/>
      <c r="AJ684" s="4"/>
    </row>
    <row r="685" spans="1:36" ht="12.75"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3"/>
      <c r="AI685" s="4"/>
      <c r="AJ685" s="4"/>
    </row>
    <row r="686" spans="1:36" ht="12.75"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3"/>
      <c r="AI686" s="4"/>
      <c r="AJ686" s="4"/>
    </row>
    <row r="687" spans="1:36" ht="12.75"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3"/>
      <c r="AI687" s="4"/>
      <c r="AJ687" s="4"/>
    </row>
    <row r="688" spans="1:36" ht="12.75"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3"/>
      <c r="AI688" s="4"/>
      <c r="AJ688" s="4"/>
    </row>
    <row r="689" spans="1:36" ht="12.75"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3"/>
      <c r="AI689" s="4"/>
      <c r="AJ689" s="4"/>
    </row>
    <row r="690" spans="1:36" ht="12.75"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3"/>
      <c r="AI690" s="4"/>
      <c r="AJ690" s="4"/>
    </row>
    <row r="691" spans="1:36" ht="12.75"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3"/>
      <c r="AI691" s="4"/>
      <c r="AJ691" s="4"/>
    </row>
    <row r="692" spans="1:36" ht="12.75"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3"/>
      <c r="AI692" s="4"/>
      <c r="AJ692" s="4"/>
    </row>
    <row r="693" spans="1:36" ht="12.75"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3"/>
      <c r="AI693" s="4"/>
      <c r="AJ693" s="4"/>
    </row>
    <row r="694" spans="1:36" ht="12.75"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3"/>
      <c r="AI694" s="4"/>
      <c r="AJ694" s="4"/>
    </row>
    <row r="695" spans="1:36" ht="12.75"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3"/>
      <c r="AI695" s="4"/>
      <c r="AJ695" s="4"/>
    </row>
    <row r="696" spans="1:36" ht="12.75"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3"/>
      <c r="AI696" s="4"/>
      <c r="AJ696" s="4"/>
    </row>
    <row r="697" spans="1:36" ht="12.75"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3"/>
      <c r="AI697" s="4"/>
      <c r="AJ697" s="4"/>
    </row>
    <row r="698" spans="1:36" ht="12.75"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3"/>
      <c r="AI698" s="4"/>
      <c r="AJ698" s="4"/>
    </row>
    <row r="699" spans="1:36" ht="12.75"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3"/>
      <c r="AI699" s="4"/>
      <c r="AJ699" s="4"/>
    </row>
    <row r="700" spans="1:36" ht="12.75"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3"/>
      <c r="AI700" s="4"/>
      <c r="AJ700" s="4"/>
    </row>
    <row r="701" spans="1:36" ht="12.75"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3"/>
      <c r="AI701" s="4"/>
      <c r="AJ701" s="4"/>
    </row>
    <row r="702" spans="1:36" ht="12.75"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3"/>
      <c r="AI702" s="4"/>
      <c r="AJ702" s="4"/>
    </row>
    <row r="703" spans="1:36" ht="12.75"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3"/>
      <c r="AI703" s="4"/>
      <c r="AJ703" s="4"/>
    </row>
    <row r="704" spans="1:36" ht="12.75"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3"/>
      <c r="AI704" s="4"/>
      <c r="AJ704" s="4"/>
    </row>
    <row r="705" spans="1:36" ht="12.75"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3"/>
      <c r="AI705" s="4"/>
      <c r="AJ705" s="4"/>
    </row>
    <row r="706" spans="1:36" ht="12.75"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3"/>
      <c r="AI706" s="4"/>
      <c r="AJ706" s="4"/>
    </row>
    <row r="707" spans="1:36" ht="12.75"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3"/>
      <c r="AI707" s="4"/>
      <c r="AJ707" s="4"/>
    </row>
    <row r="708" spans="1:36" ht="12.75"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3"/>
      <c r="AI708" s="4"/>
      <c r="AJ708" s="4"/>
    </row>
    <row r="709" spans="1:36" ht="12.75"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3"/>
      <c r="AI709" s="4"/>
      <c r="AJ709" s="4"/>
    </row>
    <row r="710" spans="1:36" ht="12.75"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3"/>
      <c r="AI710" s="4"/>
      <c r="AJ710" s="4"/>
    </row>
    <row r="711" spans="1:36" ht="12.75"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3"/>
      <c r="AI711" s="4"/>
      <c r="AJ711" s="4"/>
    </row>
    <row r="712" spans="1:36" ht="12.75"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3"/>
      <c r="AI712" s="4"/>
      <c r="AJ712" s="4"/>
    </row>
    <row r="713" spans="1:36" ht="12.75"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3"/>
      <c r="AI713" s="4"/>
      <c r="AJ713" s="4"/>
    </row>
    <row r="714" spans="1:36" ht="12.75"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3"/>
      <c r="AI714" s="4"/>
      <c r="AJ714" s="4"/>
    </row>
    <row r="715" spans="1:36" ht="12.75"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3"/>
      <c r="AI715" s="4"/>
      <c r="AJ715" s="4"/>
    </row>
    <row r="716" spans="1:36" ht="12.75"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3"/>
      <c r="AI716" s="4"/>
      <c r="AJ716" s="4"/>
    </row>
    <row r="717" spans="1:36" ht="12.75"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3"/>
      <c r="AI717" s="4"/>
      <c r="AJ717" s="4"/>
    </row>
    <row r="718" spans="1:36" ht="12.75"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3"/>
      <c r="AI718" s="4"/>
      <c r="AJ718" s="4"/>
    </row>
    <row r="719" spans="1:36" ht="12.75"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3"/>
      <c r="AI719" s="4"/>
      <c r="AJ719" s="4"/>
    </row>
    <row r="720" spans="1:36" ht="12.75"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3"/>
      <c r="AI720" s="4"/>
      <c r="AJ720" s="4"/>
    </row>
    <row r="721" spans="1:36" ht="12.75"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3"/>
      <c r="AI721" s="4"/>
      <c r="AJ721" s="4"/>
    </row>
    <row r="722" spans="1:36" ht="12.75"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3"/>
      <c r="AI722" s="4"/>
      <c r="AJ722" s="4"/>
    </row>
    <row r="723" spans="1:36" ht="12.75"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3"/>
      <c r="AI723" s="4"/>
      <c r="AJ723" s="4"/>
    </row>
    <row r="724" spans="1:36" ht="12.75"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3"/>
      <c r="AI724" s="4"/>
      <c r="AJ724" s="4"/>
    </row>
    <row r="725" spans="1:36" ht="12.75"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3"/>
      <c r="AI725" s="4"/>
      <c r="AJ725" s="4"/>
    </row>
    <row r="726" spans="1:36" ht="12.75"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3"/>
      <c r="AI726" s="4"/>
      <c r="AJ726" s="4"/>
    </row>
    <row r="727" spans="1:36" ht="12.75"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3"/>
      <c r="AI727" s="4"/>
      <c r="AJ727" s="4"/>
    </row>
    <row r="728" spans="1:36" ht="12.75"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3"/>
      <c r="AI728" s="4"/>
      <c r="AJ728" s="4"/>
    </row>
    <row r="729" spans="1:36" ht="12.75"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3"/>
      <c r="AI729" s="4"/>
      <c r="AJ729" s="4"/>
    </row>
    <row r="730" spans="1:36" ht="12.75"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3"/>
      <c r="AI730" s="4"/>
      <c r="AJ730" s="4"/>
    </row>
    <row r="731" spans="1:36" ht="12.75"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3"/>
      <c r="AI731" s="4"/>
      <c r="AJ731" s="4"/>
    </row>
    <row r="732" spans="1:36" ht="12.75"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3"/>
      <c r="AI732" s="4"/>
      <c r="AJ732" s="4"/>
    </row>
    <row r="733" spans="1:36" ht="12.75"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3"/>
      <c r="AI733" s="4"/>
      <c r="AJ733" s="4"/>
    </row>
    <row r="734" spans="1:36" ht="12.75"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3"/>
      <c r="AI734" s="4"/>
      <c r="AJ734" s="4"/>
    </row>
    <row r="735" spans="1:36" ht="12.75"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3"/>
      <c r="AI735" s="4"/>
      <c r="AJ735" s="4"/>
    </row>
    <row r="736" spans="1:36" ht="12.75"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3"/>
      <c r="AI736" s="4"/>
      <c r="AJ736" s="4"/>
    </row>
    <row r="737" spans="1:36" ht="12.75"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3"/>
      <c r="AI737" s="4"/>
      <c r="AJ737" s="4"/>
    </row>
    <row r="738" spans="1:36" ht="12.75"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3"/>
      <c r="AI738" s="4"/>
      <c r="AJ738" s="4"/>
    </row>
    <row r="739" spans="1:36" ht="12.75"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3"/>
      <c r="AI739" s="4"/>
      <c r="AJ739" s="4"/>
    </row>
    <row r="740" spans="1:36" ht="12.75"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3"/>
      <c r="AI740" s="4"/>
      <c r="AJ740" s="4"/>
    </row>
    <row r="741" spans="1:36" ht="12.75"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3"/>
      <c r="AI741" s="4"/>
      <c r="AJ741" s="4"/>
    </row>
    <row r="742" spans="1:36" ht="12.75"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3"/>
      <c r="AI742" s="4"/>
      <c r="AJ742" s="4"/>
    </row>
    <row r="743" spans="1:36" ht="12.75"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3"/>
      <c r="AI743" s="4"/>
      <c r="AJ743" s="4"/>
    </row>
    <row r="744" spans="1:36" ht="12.75"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3"/>
      <c r="AI744" s="4"/>
      <c r="AJ744" s="4"/>
    </row>
    <row r="745" spans="1:36" ht="12.75"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3"/>
      <c r="AI745" s="4"/>
      <c r="AJ745" s="4"/>
    </row>
    <row r="746" spans="1:36" ht="12.75"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3"/>
      <c r="AI746" s="4"/>
      <c r="AJ746" s="4"/>
    </row>
    <row r="747" spans="1:36" ht="12.75"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3"/>
      <c r="AI747" s="4"/>
      <c r="AJ747" s="4"/>
    </row>
    <row r="748" spans="1:36" ht="12.75"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3"/>
      <c r="AI748" s="4"/>
      <c r="AJ748" s="4"/>
    </row>
    <row r="749" spans="1:36" ht="12.75"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3"/>
      <c r="AI749" s="4"/>
      <c r="AJ749" s="4"/>
    </row>
    <row r="750" spans="1:36" ht="12.75"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3"/>
      <c r="AI750" s="4"/>
      <c r="AJ750" s="4"/>
    </row>
    <row r="751" spans="1:36" ht="12.75"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3"/>
      <c r="AI751" s="4"/>
      <c r="AJ751" s="4"/>
    </row>
    <row r="752" spans="1:36" ht="12.75"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3"/>
      <c r="AI752" s="4"/>
      <c r="AJ752" s="4"/>
    </row>
    <row r="753" spans="1:36" ht="12.75"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3"/>
      <c r="AI753" s="4"/>
      <c r="AJ753" s="4"/>
    </row>
    <row r="754" spans="1:36" ht="12.75"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3"/>
      <c r="AI754" s="4"/>
      <c r="AJ754" s="4"/>
    </row>
    <row r="755" spans="1:36" ht="12.75"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3"/>
      <c r="AI755" s="4"/>
      <c r="AJ755" s="4"/>
    </row>
    <row r="756" spans="1:36" ht="12.75"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3"/>
      <c r="AI756" s="4"/>
      <c r="AJ756" s="4"/>
    </row>
    <row r="757" spans="1:36" ht="12.75"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3"/>
      <c r="AI757" s="4"/>
      <c r="AJ757" s="4"/>
    </row>
    <row r="758" spans="1:36" ht="12.75"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3"/>
      <c r="AI758" s="4"/>
      <c r="AJ758" s="4"/>
    </row>
    <row r="759" spans="1:36" ht="12.75"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3"/>
      <c r="AI759" s="4"/>
      <c r="AJ759" s="4"/>
    </row>
    <row r="760" spans="1:36" ht="12.75"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3"/>
      <c r="AI760" s="4"/>
      <c r="AJ760" s="4"/>
    </row>
    <row r="761" spans="1:36" ht="12.75"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3"/>
      <c r="AI761" s="4"/>
      <c r="AJ761" s="4"/>
    </row>
    <row r="762" spans="1:36" ht="12.75"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3"/>
      <c r="AI762" s="4"/>
      <c r="AJ762" s="4"/>
    </row>
    <row r="763" spans="1:36" ht="12.75"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3"/>
      <c r="AI763" s="4"/>
      <c r="AJ763" s="4"/>
    </row>
    <row r="764" spans="1:36" ht="12.75"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3"/>
      <c r="AI764" s="4"/>
      <c r="AJ764" s="4"/>
    </row>
    <row r="765" spans="1:36" ht="12.75"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3"/>
      <c r="AI765" s="4"/>
      <c r="AJ765" s="4"/>
    </row>
    <row r="766" spans="1:36" ht="12.75"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3"/>
      <c r="AI766" s="4"/>
      <c r="AJ766" s="4"/>
    </row>
    <row r="767" spans="1:36" ht="12.75"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3"/>
      <c r="AI767" s="4"/>
      <c r="AJ767" s="4"/>
    </row>
    <row r="768" spans="1:36" ht="12.75"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3"/>
      <c r="AI768" s="4"/>
      <c r="AJ768" s="4"/>
    </row>
    <row r="769" spans="1:36" ht="12.75"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3"/>
      <c r="AI769" s="4"/>
      <c r="AJ769" s="4"/>
    </row>
    <row r="770" spans="1:36" ht="12.75"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3"/>
      <c r="AI770" s="4"/>
      <c r="AJ770" s="4"/>
    </row>
    <row r="771" spans="1:36" ht="12.75"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3"/>
      <c r="AI771" s="4"/>
      <c r="AJ771" s="4"/>
    </row>
    <row r="772" spans="1:36" ht="12.75"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3"/>
      <c r="AI772" s="4"/>
      <c r="AJ772" s="4"/>
    </row>
    <row r="773" spans="1:36" ht="12.75"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3"/>
      <c r="AI773" s="4"/>
      <c r="AJ773" s="4"/>
    </row>
    <row r="774" spans="1:36" ht="12.75"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3"/>
      <c r="AI774" s="4"/>
      <c r="AJ774" s="4"/>
    </row>
    <row r="775" spans="1:36" ht="12.75"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3"/>
      <c r="AI775" s="4"/>
      <c r="AJ775" s="4"/>
    </row>
    <row r="776" spans="1:36" ht="12.75"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3"/>
      <c r="AI776" s="4"/>
      <c r="AJ776" s="4"/>
    </row>
    <row r="777" spans="1:36" ht="12.75"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3"/>
      <c r="AI777" s="4"/>
      <c r="AJ777" s="4"/>
    </row>
    <row r="778" spans="1:36" ht="12.75"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3"/>
      <c r="AI778" s="4"/>
      <c r="AJ778" s="4"/>
    </row>
    <row r="779" spans="1:36" ht="12.75"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3"/>
      <c r="AI779" s="4"/>
      <c r="AJ779" s="4"/>
    </row>
    <row r="780" spans="1:36" ht="12.75"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3"/>
      <c r="AI780" s="4"/>
      <c r="AJ780" s="4"/>
    </row>
    <row r="781" spans="1:36" ht="12.75"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3"/>
      <c r="AI781" s="4"/>
      <c r="AJ781" s="4"/>
    </row>
    <row r="782" spans="1:36" ht="12.75"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3"/>
      <c r="AI782" s="4"/>
      <c r="AJ782" s="4"/>
    </row>
    <row r="783" spans="1:36" ht="12.75"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3"/>
      <c r="AI783" s="4"/>
      <c r="AJ783" s="4"/>
    </row>
    <row r="784" spans="1:36" ht="12.75"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3"/>
      <c r="AI784" s="4"/>
      <c r="AJ784" s="4"/>
    </row>
    <row r="785" spans="1:36" ht="12.75"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3"/>
      <c r="AI785" s="4"/>
      <c r="AJ785" s="4"/>
    </row>
    <row r="786" spans="1:36" ht="12.75"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3"/>
      <c r="AI786" s="4"/>
      <c r="AJ786" s="4"/>
    </row>
    <row r="787" spans="1:36" ht="12.75"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3"/>
      <c r="AI787" s="4"/>
      <c r="AJ787" s="4"/>
    </row>
    <row r="788" spans="1:36" ht="12.75"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3"/>
      <c r="AI788" s="4"/>
      <c r="AJ788" s="4"/>
    </row>
    <row r="789" spans="1:36" ht="12.75"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3"/>
      <c r="AI789" s="4"/>
      <c r="AJ789" s="4"/>
    </row>
    <row r="790" spans="1:36" ht="12.75"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3"/>
      <c r="AI790" s="4"/>
      <c r="AJ790" s="4"/>
    </row>
    <row r="791" spans="1:36" ht="12.75"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3"/>
      <c r="AI791" s="4"/>
      <c r="AJ791" s="4"/>
    </row>
    <row r="792" spans="1:36" ht="12.75"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3"/>
      <c r="AI792" s="4"/>
      <c r="AJ792" s="4"/>
    </row>
    <row r="793" spans="1:36" ht="12.75"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3"/>
      <c r="AI793" s="4"/>
      <c r="AJ793" s="4"/>
    </row>
    <row r="794" spans="1:36" ht="12.75"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3"/>
      <c r="AI794" s="4"/>
      <c r="AJ794" s="4"/>
    </row>
    <row r="795" spans="1:36" ht="12.75"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3"/>
      <c r="AI795" s="4"/>
      <c r="AJ795" s="4"/>
    </row>
    <row r="796" spans="1:36" ht="12.75"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3"/>
      <c r="AI796" s="4"/>
      <c r="AJ796" s="4"/>
    </row>
    <row r="797" spans="1:36" ht="12.75"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3"/>
      <c r="AI797" s="4"/>
      <c r="AJ797" s="4"/>
    </row>
    <row r="798" spans="1:36" ht="12.75"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3"/>
      <c r="AI798" s="4"/>
      <c r="AJ798" s="4"/>
    </row>
    <row r="799" spans="1:36" ht="12.75"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3"/>
      <c r="AI799" s="4"/>
      <c r="AJ799" s="4"/>
    </row>
    <row r="800" spans="1:36" ht="12.75"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3"/>
      <c r="AI800" s="4"/>
      <c r="AJ800" s="4"/>
    </row>
    <row r="801" spans="1:36" ht="12.75"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3"/>
      <c r="AI801" s="4"/>
      <c r="AJ801" s="4"/>
    </row>
    <row r="802" spans="1:36" ht="12.75"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3"/>
      <c r="AI802" s="4"/>
      <c r="AJ802" s="4"/>
    </row>
    <row r="803" spans="1:36" ht="12.75"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3"/>
      <c r="AI803" s="4"/>
      <c r="AJ803" s="4"/>
    </row>
    <row r="804" spans="1:36" ht="12.75"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3"/>
      <c r="AI804" s="4"/>
      <c r="AJ804" s="4"/>
    </row>
    <row r="805" spans="1:36" ht="12.75"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3"/>
      <c r="AI805" s="4"/>
      <c r="AJ805" s="4"/>
    </row>
    <row r="806" spans="1:36" ht="12.75"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3"/>
      <c r="AI806" s="4"/>
      <c r="AJ806" s="4"/>
    </row>
    <row r="807" spans="1:36" ht="12.75"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3"/>
      <c r="AI807" s="4"/>
      <c r="AJ807" s="4"/>
    </row>
    <row r="808" spans="1:36" ht="12.75"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3"/>
      <c r="AI808" s="4"/>
      <c r="AJ808" s="4"/>
    </row>
    <row r="809" spans="1:36" ht="12.75"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3"/>
      <c r="AI809" s="4"/>
      <c r="AJ809" s="4"/>
    </row>
    <row r="810" spans="1:36" ht="12.75"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3"/>
      <c r="AI810" s="4"/>
      <c r="AJ810" s="4"/>
    </row>
    <row r="811" spans="1:36" ht="12.75"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3"/>
      <c r="AI811" s="4"/>
      <c r="AJ811" s="4"/>
    </row>
    <row r="812" spans="1:36" ht="12.75"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3"/>
      <c r="AI812" s="4"/>
      <c r="AJ812" s="4"/>
    </row>
    <row r="813" spans="1:36" ht="12.75"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3"/>
      <c r="AI813" s="4"/>
      <c r="AJ813" s="4"/>
    </row>
    <row r="814" spans="1:36" ht="12.75"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3"/>
      <c r="AI814" s="4"/>
      <c r="AJ814" s="4"/>
    </row>
    <row r="815" spans="1:36" ht="12.75"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3"/>
      <c r="AI815" s="4"/>
      <c r="AJ815" s="4"/>
    </row>
    <row r="816" spans="1:36" ht="12.75"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3"/>
      <c r="AI816" s="4"/>
      <c r="AJ816" s="4"/>
    </row>
    <row r="817" spans="1:36" ht="12.75"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3"/>
      <c r="AI817" s="4"/>
      <c r="AJ817" s="4"/>
    </row>
    <row r="818" spans="1:36" ht="12.75"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3"/>
      <c r="AI818" s="4"/>
      <c r="AJ818" s="4"/>
    </row>
    <row r="819" spans="1:36" ht="12.75"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3"/>
      <c r="AI819" s="4"/>
      <c r="AJ819" s="4"/>
    </row>
    <row r="820" spans="1:36" ht="12.75"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3"/>
      <c r="AI820" s="4"/>
      <c r="AJ820" s="4"/>
    </row>
    <row r="821" spans="1:36" ht="12.75"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3"/>
      <c r="AI821" s="4"/>
      <c r="AJ821" s="4"/>
    </row>
    <row r="822" spans="1:36" ht="12.75"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3"/>
      <c r="AI822" s="4"/>
      <c r="AJ822" s="4"/>
    </row>
    <row r="823" spans="1:36" ht="12.75"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3"/>
      <c r="AI823" s="4"/>
      <c r="AJ823" s="4"/>
    </row>
    <row r="824" spans="1:36" ht="12.75"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3"/>
      <c r="AI824" s="4"/>
      <c r="AJ824" s="4"/>
    </row>
    <row r="825" spans="1:36" ht="12.75"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3"/>
      <c r="AI825" s="4"/>
      <c r="AJ825" s="4"/>
    </row>
    <row r="826" spans="1:36" ht="12.75"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3"/>
      <c r="AI826" s="4"/>
      <c r="AJ826" s="4"/>
    </row>
    <row r="827" spans="1:36" ht="12.75"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3"/>
      <c r="AI827" s="4"/>
      <c r="AJ827" s="4"/>
    </row>
    <row r="828" spans="1:36" ht="12.75"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3"/>
      <c r="AI828" s="4"/>
      <c r="AJ828" s="4"/>
    </row>
    <row r="829" spans="1:36" ht="12.75"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3"/>
      <c r="AI829" s="4"/>
      <c r="AJ829" s="4"/>
    </row>
    <row r="830" spans="1:36" ht="12.75"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3"/>
      <c r="AI830" s="4"/>
      <c r="AJ830" s="4"/>
    </row>
    <row r="831" spans="1:36" ht="12.75"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3"/>
      <c r="AI831" s="4"/>
      <c r="AJ831" s="4"/>
    </row>
    <row r="832" spans="1:36" ht="12.75"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3"/>
      <c r="AI832" s="4"/>
      <c r="AJ832" s="4"/>
    </row>
    <row r="833" spans="1:36" ht="12.75"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3"/>
      <c r="AI833" s="4"/>
      <c r="AJ833" s="4"/>
    </row>
    <row r="834" spans="1:36" ht="12.75"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3"/>
      <c r="AI834" s="4"/>
      <c r="AJ834" s="4"/>
    </row>
    <row r="835" spans="1:36" ht="12.75"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3"/>
      <c r="AI835" s="4"/>
      <c r="AJ835" s="4"/>
    </row>
    <row r="836" spans="1:36" ht="12.75"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3"/>
      <c r="AI836" s="4"/>
      <c r="AJ836" s="4"/>
    </row>
    <row r="837" spans="1:36" ht="12.75"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3"/>
      <c r="AI837" s="4"/>
      <c r="AJ837" s="4"/>
    </row>
    <row r="838" spans="1:36" ht="12.75"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3"/>
      <c r="AI838" s="4"/>
      <c r="AJ838" s="4"/>
    </row>
    <row r="839" spans="1:36" ht="12.75"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3"/>
      <c r="AI839" s="4"/>
      <c r="AJ839" s="4"/>
    </row>
    <row r="840" spans="1:36" ht="12.75"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3"/>
      <c r="AI840" s="4"/>
      <c r="AJ840" s="4"/>
    </row>
    <row r="841" spans="1:36" ht="12.75"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3"/>
      <c r="AI841" s="4"/>
      <c r="AJ841" s="4"/>
    </row>
    <row r="842" spans="1:36" ht="12.75"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3"/>
      <c r="AI842" s="4"/>
      <c r="AJ842" s="4"/>
    </row>
    <row r="843" spans="1:36" ht="12.75"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3"/>
      <c r="AI843" s="4"/>
      <c r="AJ843" s="4"/>
    </row>
    <row r="844" spans="1:36" ht="12.75"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3"/>
      <c r="AI844" s="4"/>
      <c r="AJ844" s="4"/>
    </row>
    <row r="845" spans="1:36" ht="12.75"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3"/>
      <c r="AI845" s="4"/>
      <c r="AJ845" s="4"/>
    </row>
    <row r="846" spans="1:36" ht="12.75"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3"/>
      <c r="AI846" s="4"/>
      <c r="AJ846" s="4"/>
    </row>
    <row r="847" spans="1:36" ht="12.75"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3"/>
      <c r="AI847" s="4"/>
      <c r="AJ847" s="4"/>
    </row>
    <row r="848" spans="1:36" ht="12.75"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3"/>
      <c r="AI848" s="4"/>
      <c r="AJ848" s="4"/>
    </row>
    <row r="849" spans="1:36" ht="12.75"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3"/>
      <c r="AI849" s="4"/>
      <c r="AJ849" s="4"/>
    </row>
    <row r="850" spans="1:36" ht="12.75"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3"/>
      <c r="AI850" s="4"/>
      <c r="AJ850" s="4"/>
    </row>
    <row r="851" spans="1:36" ht="12.75"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3"/>
      <c r="AI851" s="4"/>
      <c r="AJ851" s="4"/>
    </row>
    <row r="852" spans="1:36" ht="12.75"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3"/>
      <c r="AI852" s="4"/>
      <c r="AJ852" s="4"/>
    </row>
    <row r="853" spans="1:36" ht="12.75"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3"/>
      <c r="AI853" s="4"/>
      <c r="AJ853" s="4"/>
    </row>
    <row r="854" spans="1:36" ht="12.75"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3"/>
      <c r="AI854" s="4"/>
      <c r="AJ854" s="4"/>
    </row>
    <row r="855" spans="1:36" ht="12.75"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3"/>
      <c r="AI855" s="4"/>
      <c r="AJ855" s="4"/>
    </row>
    <row r="856" spans="1:36" ht="12.75"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3"/>
      <c r="AI856" s="4"/>
      <c r="AJ856" s="4"/>
    </row>
    <row r="857" spans="1:36" ht="12.75"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3"/>
      <c r="AI857" s="4"/>
      <c r="AJ857" s="4"/>
    </row>
    <row r="858" spans="1:36" ht="12.75"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3"/>
      <c r="AI858" s="4"/>
      <c r="AJ858" s="4"/>
    </row>
    <row r="859" spans="1:36" ht="12.75"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3"/>
      <c r="AI859" s="4"/>
      <c r="AJ859" s="4"/>
    </row>
    <row r="860" spans="1:36" ht="12.75"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3"/>
      <c r="AI860" s="4"/>
      <c r="AJ860" s="4"/>
    </row>
    <row r="861" spans="1:36" ht="12.75"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3"/>
      <c r="AI861" s="4"/>
      <c r="AJ861" s="4"/>
    </row>
    <row r="862" spans="1:36" ht="12.75"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3"/>
      <c r="AI862" s="4"/>
      <c r="AJ862" s="4"/>
    </row>
    <row r="863" spans="1:36" ht="12.75"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3"/>
      <c r="AI863" s="4"/>
      <c r="AJ863" s="4"/>
    </row>
    <row r="864" spans="1:36" ht="12.75"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3"/>
      <c r="AI864" s="4"/>
      <c r="AJ864" s="4"/>
    </row>
    <row r="865" spans="1:36" ht="12.75"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3"/>
      <c r="AI865" s="4"/>
      <c r="AJ865" s="4"/>
    </row>
    <row r="866" spans="1:36" ht="12.75"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3"/>
      <c r="AI866" s="4"/>
      <c r="AJ866" s="4"/>
    </row>
    <row r="867" spans="1:36" ht="12.75"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3"/>
      <c r="AI867" s="4"/>
      <c r="AJ867" s="4"/>
    </row>
    <row r="868" spans="1:36" ht="12.75"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3"/>
      <c r="AI868" s="4"/>
      <c r="AJ868" s="4"/>
    </row>
    <row r="869" spans="1:36" ht="12.75"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3"/>
      <c r="AI869" s="4"/>
      <c r="AJ869" s="4"/>
    </row>
    <row r="870" spans="1:36" ht="12.75"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3"/>
      <c r="AI870" s="4"/>
      <c r="AJ870" s="4"/>
    </row>
    <row r="871" spans="1:36" ht="12.75"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3"/>
      <c r="AI871" s="4"/>
      <c r="AJ871" s="4"/>
    </row>
    <row r="872" spans="1:36" ht="12.75"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3"/>
      <c r="AI872" s="4"/>
      <c r="AJ872" s="4"/>
    </row>
    <row r="873" spans="1:36" ht="12.75"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3"/>
      <c r="AI873" s="4"/>
      <c r="AJ873" s="4"/>
    </row>
    <row r="874" spans="1:36" ht="12.75"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3"/>
      <c r="AI874" s="4"/>
      <c r="AJ874" s="4"/>
    </row>
    <row r="875" spans="1:36" ht="12.75"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3"/>
      <c r="AI875" s="4"/>
      <c r="AJ875" s="4"/>
    </row>
    <row r="876" spans="1:36" ht="12.75"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3"/>
      <c r="AI876" s="4"/>
      <c r="AJ876" s="4"/>
    </row>
    <row r="877" spans="1:36" ht="12.75"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3"/>
      <c r="AI877" s="4"/>
      <c r="AJ877" s="4"/>
    </row>
    <row r="878" spans="1:36" ht="12.75"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3"/>
      <c r="AI878" s="4"/>
      <c r="AJ878" s="4"/>
    </row>
    <row r="879" spans="1:36" ht="12.75"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3"/>
      <c r="AI879" s="4"/>
      <c r="AJ879" s="4"/>
    </row>
    <row r="880" spans="1:36" ht="12.75"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3"/>
      <c r="AI880" s="4"/>
      <c r="AJ880" s="4"/>
    </row>
    <row r="881" spans="1:36" ht="12.75"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3"/>
      <c r="AI881" s="4"/>
      <c r="AJ881" s="4"/>
    </row>
    <row r="882" spans="1:36" ht="12.75"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3"/>
      <c r="AI882" s="4"/>
      <c r="AJ882" s="4"/>
    </row>
    <row r="883" spans="1:36" ht="12.75"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3"/>
      <c r="AI883" s="4"/>
      <c r="AJ883" s="4"/>
    </row>
    <row r="884" spans="1:36" ht="12.75"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3"/>
      <c r="AI884" s="4"/>
      <c r="AJ884" s="4"/>
    </row>
    <row r="885" spans="1:36" ht="12.75"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3"/>
      <c r="AI885" s="4"/>
      <c r="AJ885" s="4"/>
    </row>
    <row r="886" spans="1:36" ht="12.75"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3"/>
      <c r="AI886" s="4"/>
      <c r="AJ886" s="4"/>
    </row>
    <row r="887" spans="1:36" ht="12.75"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3"/>
      <c r="AI887" s="4"/>
      <c r="AJ887" s="4"/>
    </row>
    <row r="888" spans="1:36" ht="12.75"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3"/>
      <c r="AI888" s="4"/>
      <c r="AJ888" s="4"/>
    </row>
    <row r="889" spans="1:36" ht="12.75"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3"/>
      <c r="AI889" s="4"/>
      <c r="AJ889" s="4"/>
    </row>
    <row r="890" spans="1:36" ht="12.75"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3"/>
      <c r="AI890" s="4"/>
      <c r="AJ890" s="4"/>
    </row>
    <row r="891" spans="1:36" ht="12.75"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3"/>
      <c r="AI891" s="4"/>
      <c r="AJ891" s="4"/>
    </row>
    <row r="892" spans="1:36" ht="12.75"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3"/>
      <c r="AI892" s="4"/>
      <c r="AJ892" s="4"/>
    </row>
    <row r="893" spans="1:36" ht="12.75"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3"/>
      <c r="AI893" s="4"/>
      <c r="AJ893" s="4"/>
    </row>
    <row r="894" spans="1:36" ht="12.75"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3"/>
      <c r="AI894" s="4"/>
      <c r="AJ894" s="4"/>
    </row>
    <row r="895" spans="1:36" ht="12.75"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3"/>
      <c r="AI895" s="4"/>
      <c r="AJ895" s="4"/>
    </row>
    <row r="896" spans="1:36" ht="12.75"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3"/>
      <c r="AI896" s="4"/>
      <c r="AJ896" s="4"/>
    </row>
    <row r="897" spans="1:36" ht="12.75"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3"/>
      <c r="AI897" s="4"/>
      <c r="AJ897" s="4"/>
    </row>
    <row r="898" spans="1:36" ht="12.75"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3"/>
      <c r="AI898" s="4"/>
      <c r="AJ898" s="4"/>
    </row>
    <row r="899" spans="1:36" ht="12.75"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3"/>
      <c r="AI899" s="4"/>
      <c r="AJ899" s="4"/>
    </row>
    <row r="900" spans="1:36" ht="12.75"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3"/>
      <c r="AI900" s="4"/>
      <c r="AJ900" s="4"/>
    </row>
    <row r="901" spans="1:36" ht="12.75"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3"/>
      <c r="AI901" s="4"/>
      <c r="AJ901" s="4"/>
    </row>
    <row r="902" spans="1:36" ht="12.75"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3"/>
      <c r="AI902" s="4"/>
      <c r="AJ902" s="4"/>
    </row>
    <row r="903" spans="1:36" ht="12.75"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3"/>
      <c r="AI903" s="4"/>
      <c r="AJ903" s="4"/>
    </row>
    <row r="904" spans="1:36" ht="12.75"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3"/>
      <c r="AI904" s="4"/>
      <c r="AJ904" s="4"/>
    </row>
    <row r="905" spans="1:36" ht="12.75"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3"/>
      <c r="AI905" s="4"/>
      <c r="AJ905" s="4"/>
    </row>
    <row r="906" spans="1:36" ht="12.75"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3"/>
      <c r="AI906" s="4"/>
      <c r="AJ906" s="4"/>
    </row>
    <row r="907" spans="1:36" ht="12.75"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3"/>
      <c r="AI907" s="4"/>
      <c r="AJ907" s="4"/>
    </row>
    <row r="908" spans="1:36" ht="12.75"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3"/>
      <c r="AI908" s="4"/>
      <c r="AJ908" s="4"/>
    </row>
    <row r="909" spans="1:36" ht="12.75"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3"/>
      <c r="AI909" s="4"/>
      <c r="AJ909" s="4"/>
    </row>
    <row r="910" spans="1:36" ht="12.75"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3"/>
      <c r="AI910" s="4"/>
      <c r="AJ910" s="4"/>
    </row>
    <row r="911" spans="1:36" ht="12.75"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3"/>
      <c r="AI911" s="4"/>
      <c r="AJ911" s="4"/>
    </row>
    <row r="912" spans="1:36" ht="12.75"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3"/>
      <c r="AI912" s="4"/>
      <c r="AJ912" s="4"/>
    </row>
    <row r="913" spans="1:36" ht="12.75"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3"/>
      <c r="AI913" s="4"/>
      <c r="AJ913" s="4"/>
    </row>
    <row r="914" spans="1:36" ht="12.75"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3"/>
      <c r="AI914" s="4"/>
      <c r="AJ914" s="4"/>
    </row>
    <row r="915" spans="1:36" ht="12.75"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3"/>
      <c r="AI915" s="4"/>
      <c r="AJ915" s="4"/>
    </row>
    <row r="916" spans="1:36" ht="12.75"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3"/>
      <c r="AI916" s="4"/>
      <c r="AJ916" s="4"/>
    </row>
    <row r="917" spans="1:36" ht="12.75"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3"/>
      <c r="AI917" s="4"/>
      <c r="AJ917" s="4"/>
    </row>
    <row r="918" spans="1:36" ht="12.75"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3"/>
      <c r="AI918" s="4"/>
      <c r="AJ918" s="4"/>
    </row>
    <row r="919" spans="1:36" ht="12.75"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3"/>
      <c r="AI919" s="4"/>
      <c r="AJ919" s="4"/>
    </row>
    <row r="920" spans="1:36" ht="12.75"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3"/>
      <c r="AI920" s="4"/>
      <c r="AJ920" s="4"/>
    </row>
    <row r="921" spans="1:36" ht="12.75"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3"/>
      <c r="AI921" s="4"/>
      <c r="AJ921" s="4"/>
    </row>
    <row r="922" spans="1:36" ht="12.75"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3"/>
      <c r="AI922" s="4"/>
      <c r="AJ922" s="4"/>
    </row>
    <row r="923" spans="1:36" ht="12.75"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3"/>
      <c r="AI923" s="4"/>
      <c r="AJ923" s="4"/>
    </row>
    <row r="924" spans="1:36" ht="12.75"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3"/>
      <c r="AI924" s="4"/>
      <c r="AJ924" s="4"/>
    </row>
    <row r="925" spans="1:36" ht="12.75"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3"/>
      <c r="AI925" s="4"/>
      <c r="AJ925" s="4"/>
    </row>
    <row r="926" spans="1:36" ht="12.75"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3"/>
      <c r="AI926" s="4"/>
      <c r="AJ926" s="4"/>
    </row>
    <row r="927" spans="1:36" ht="12.75"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3"/>
      <c r="AI927" s="4"/>
      <c r="AJ927" s="4"/>
    </row>
    <row r="928" spans="1:36" ht="12.75"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3"/>
      <c r="AI928" s="4"/>
      <c r="AJ928" s="4"/>
    </row>
    <row r="929" spans="1:36" ht="12.75"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3"/>
      <c r="AI929" s="4"/>
      <c r="AJ929" s="4"/>
    </row>
    <row r="930" spans="1:36" ht="12.75"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3"/>
      <c r="AI930" s="4"/>
      <c r="AJ930" s="4"/>
    </row>
    <row r="931" spans="1:36" ht="12.75"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3"/>
      <c r="AI931" s="4"/>
      <c r="AJ931" s="4"/>
    </row>
    <row r="932" spans="1:36" ht="12.75"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3"/>
      <c r="AI932" s="4"/>
      <c r="AJ932" s="4"/>
    </row>
    <row r="933" spans="1:36" ht="12.75"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3"/>
      <c r="AI933" s="4"/>
      <c r="AJ933" s="4"/>
    </row>
    <row r="934" spans="1:36" ht="12.75"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3"/>
      <c r="AI934" s="4"/>
      <c r="AJ934" s="4"/>
    </row>
    <row r="935" spans="1:36" ht="12.75"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3"/>
      <c r="AI935" s="4"/>
      <c r="AJ935" s="4"/>
    </row>
    <row r="936" spans="1:36" ht="12.75"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3"/>
      <c r="AI936" s="4"/>
      <c r="AJ936" s="4"/>
    </row>
    <row r="937" spans="1:36" ht="12.75"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3"/>
      <c r="AI937" s="4"/>
      <c r="AJ937" s="4"/>
    </row>
    <row r="938" spans="1:36" ht="12.75"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3"/>
      <c r="AI938" s="4"/>
      <c r="AJ938" s="4"/>
    </row>
    <row r="939" spans="1:36" ht="12.75"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3"/>
      <c r="AI939" s="4"/>
      <c r="AJ939" s="4"/>
    </row>
    <row r="940" spans="1:36" ht="12.75"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3"/>
      <c r="AI940" s="4"/>
      <c r="AJ940" s="4"/>
    </row>
    <row r="941" spans="1:36" ht="12.75"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3"/>
      <c r="AI941" s="4"/>
      <c r="AJ941" s="4"/>
    </row>
    <row r="942" spans="1:36" ht="12.75"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3"/>
      <c r="AI942" s="4"/>
      <c r="AJ942" s="4"/>
    </row>
    <row r="943" spans="1:36" ht="12.75"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3"/>
      <c r="AI943" s="4"/>
      <c r="AJ943" s="4"/>
    </row>
    <row r="944" spans="1:36" ht="12.75"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3"/>
      <c r="AI944" s="4"/>
      <c r="AJ944" s="4"/>
    </row>
    <row r="945" spans="1:36" ht="12.75"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3"/>
      <c r="AI945" s="4"/>
      <c r="AJ945" s="4"/>
    </row>
    <row r="946" spans="1:36" ht="12.75"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3"/>
      <c r="AI946" s="4"/>
      <c r="AJ946" s="4"/>
    </row>
    <row r="947" spans="1:36" ht="12.75"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3"/>
      <c r="AI947" s="4"/>
      <c r="AJ947" s="4"/>
    </row>
    <row r="948" spans="1:36" ht="12.75"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3"/>
      <c r="AI948" s="4"/>
      <c r="AJ948" s="4"/>
    </row>
    <row r="949" spans="1:36" ht="12.75"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3"/>
      <c r="AI949" s="4"/>
      <c r="AJ949" s="4"/>
    </row>
    <row r="950" spans="1:36" ht="12.75"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3"/>
      <c r="AI950" s="4"/>
      <c r="AJ950" s="4"/>
    </row>
    <row r="951" spans="1:36" ht="12.75"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3"/>
      <c r="AI951" s="4"/>
      <c r="AJ951" s="4"/>
    </row>
    <row r="952" spans="1:36" ht="12.75"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3"/>
      <c r="AI952" s="4"/>
      <c r="AJ952" s="4"/>
    </row>
    <row r="953" spans="1:36" ht="12.75"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3"/>
      <c r="AI953" s="4"/>
      <c r="AJ953" s="4"/>
    </row>
    <row r="954" spans="1:36" ht="12.75"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3"/>
      <c r="AI954" s="4"/>
      <c r="AJ954" s="4"/>
    </row>
    <row r="955" spans="1:36" ht="12.75"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3"/>
      <c r="AI955" s="4"/>
      <c r="AJ955" s="4"/>
    </row>
    <row r="956" spans="1:36" ht="12.75"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3"/>
      <c r="AI956" s="4"/>
      <c r="AJ956" s="4"/>
    </row>
    <row r="957" spans="1:36" ht="12.75"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3"/>
      <c r="AI957" s="4"/>
      <c r="AJ957" s="4"/>
    </row>
    <row r="958" spans="1:36" ht="12.75"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3"/>
      <c r="AI958" s="4"/>
      <c r="AJ958" s="4"/>
    </row>
    <row r="959" spans="1:36" ht="12.75"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3"/>
      <c r="AI959" s="4"/>
      <c r="AJ959" s="4"/>
    </row>
    <row r="960" spans="1:36" ht="12.75"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3"/>
      <c r="AI960" s="4"/>
      <c r="AJ960" s="4"/>
    </row>
    <row r="961" spans="1:36" ht="12.75"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3"/>
      <c r="AI961" s="4"/>
      <c r="AJ961" s="4"/>
    </row>
    <row r="962" spans="1:36" ht="12.75"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3"/>
      <c r="AI962" s="4"/>
      <c r="AJ962" s="4"/>
    </row>
    <row r="963" spans="1:36" ht="12.75"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3"/>
      <c r="AI963" s="4"/>
      <c r="AJ963" s="4"/>
    </row>
    <row r="964" spans="1:36" ht="12.75"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3"/>
      <c r="AI964" s="4"/>
      <c r="AJ964" s="4"/>
    </row>
    <row r="965" spans="1:36" ht="12.75"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3"/>
      <c r="AI965" s="4"/>
      <c r="AJ965" s="4"/>
    </row>
    <row r="966" spans="1:36" ht="12.75"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3"/>
      <c r="AI966" s="4"/>
      <c r="AJ966" s="4"/>
    </row>
    <row r="967" spans="1:36" ht="12.75"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3"/>
      <c r="AI967" s="4"/>
      <c r="AJ967" s="4"/>
    </row>
    <row r="968" spans="1:36" ht="12.75"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3"/>
      <c r="AI968" s="4"/>
      <c r="AJ968" s="4"/>
    </row>
    <row r="969" spans="1:36" ht="12.75"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3"/>
      <c r="AI969" s="4"/>
      <c r="AJ969" s="4"/>
    </row>
    <row r="970" spans="1:36" ht="12.75"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3"/>
      <c r="AI970" s="4"/>
      <c r="AJ970" s="4"/>
    </row>
    <row r="971" spans="1:36" ht="12.75"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3"/>
      <c r="AI971" s="4"/>
      <c r="AJ971" s="4"/>
    </row>
    <row r="972" spans="1:36" ht="12.75"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3"/>
      <c r="AI972" s="4"/>
      <c r="AJ972" s="4"/>
    </row>
    <row r="973" spans="1:36" ht="12.75"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3"/>
      <c r="AI973" s="4"/>
      <c r="AJ973" s="4"/>
    </row>
    <row r="974" spans="1:36" ht="12.75"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3"/>
      <c r="AI974" s="4"/>
      <c r="AJ974" s="4"/>
    </row>
    <row r="975" spans="1:36" ht="12.75"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3"/>
      <c r="AI975" s="4"/>
      <c r="AJ975" s="4"/>
    </row>
    <row r="976" spans="1:36" ht="12.75"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3"/>
      <c r="AI976" s="4"/>
      <c r="AJ976" s="4"/>
    </row>
    <row r="977" spans="1:36" ht="12.75"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3"/>
      <c r="AI977" s="4"/>
      <c r="AJ977" s="4"/>
    </row>
    <row r="978" spans="1:36" ht="12.75"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3"/>
      <c r="AI978" s="4"/>
      <c r="AJ978" s="4"/>
    </row>
    <row r="979" spans="1:36" ht="12.75"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3"/>
      <c r="AI979" s="4"/>
      <c r="AJ979" s="4"/>
    </row>
    <row r="980" spans="1:36" ht="12.75"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3"/>
      <c r="AI980" s="4"/>
      <c r="AJ980" s="4"/>
    </row>
    <row r="981" spans="1:36" ht="12.75"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3"/>
      <c r="AI981" s="4"/>
      <c r="AJ981" s="4"/>
    </row>
    <row r="982" spans="1:36" ht="12.75"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3"/>
      <c r="AI982" s="4"/>
      <c r="AJ982" s="4"/>
    </row>
    <row r="983" spans="1:36" ht="12.75"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3"/>
      <c r="AI983" s="4"/>
      <c r="AJ983" s="4"/>
    </row>
    <row r="984" spans="1:36" ht="12.75"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3"/>
      <c r="AI984" s="4"/>
      <c r="AJ984" s="4"/>
    </row>
    <row r="985" spans="1:36" ht="12.75"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3"/>
      <c r="AI985" s="4"/>
      <c r="AJ985" s="4"/>
    </row>
    <row r="986" spans="1:36" ht="12.75"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3"/>
      <c r="AI986" s="4"/>
      <c r="AJ986" s="4"/>
    </row>
    <row r="987" spans="1:36" ht="12.75"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3"/>
      <c r="AI987" s="4"/>
      <c r="AJ987" s="4"/>
    </row>
    <row r="988" spans="1:36" ht="12.75"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3"/>
      <c r="AI988" s="4"/>
      <c r="AJ988" s="4"/>
    </row>
    <row r="989" spans="1:36" ht="12.75"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3"/>
      <c r="AI989" s="4"/>
      <c r="AJ989" s="4"/>
    </row>
    <row r="990" spans="1:36" ht="12.75"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3"/>
      <c r="AI990" s="4"/>
      <c r="AJ990" s="4"/>
    </row>
    <row r="991" spans="1:36" ht="12.75"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3"/>
      <c r="AI991" s="4"/>
      <c r="AJ991" s="4"/>
    </row>
    <row r="992" spans="1:36" ht="12.75"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3"/>
      <c r="AI992" s="4"/>
      <c r="AJ992" s="4"/>
    </row>
    <row r="993" spans="1:36" ht="12.75"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3"/>
      <c r="AI993" s="4"/>
      <c r="AJ993" s="4"/>
    </row>
    <row r="994" spans="1:36" ht="12.75"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3"/>
      <c r="AI994" s="4"/>
      <c r="AJ994" s="4"/>
    </row>
    <row r="995" spans="1:36" ht="12.75"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3"/>
      <c r="AI995" s="4"/>
      <c r="AJ995" s="4"/>
    </row>
    <row r="996" spans="1:36" ht="12.75"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3"/>
      <c r="AI996" s="4"/>
      <c r="AJ996" s="4"/>
    </row>
    <row r="997" spans="1:36" ht="12.75"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3"/>
      <c r="AI997" s="4"/>
      <c r="AJ997" s="4"/>
    </row>
    <row r="998" spans="1:36" ht="12.75"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3"/>
      <c r="AI998" s="4"/>
      <c r="AJ998" s="4"/>
    </row>
    <row r="999" spans="1:36" ht="12.75"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3"/>
      <c r="AI999" s="4"/>
      <c r="AJ999" s="4"/>
    </row>
    <row r="1000" spans="1:36" ht="12.75"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3"/>
      <c r="AI1000" s="4"/>
      <c r="AJ1000" s="4"/>
    </row>
    <row r="1001" spans="1:36" ht="12.75" x14ac:dyDescent="0.2">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3"/>
      <c r="AI1001" s="4"/>
      <c r="AJ1001" s="4"/>
    </row>
    <row r="1002" spans="1:36" ht="12.75" x14ac:dyDescent="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3"/>
      <c r="AI1002" s="4"/>
      <c r="AJ1002" s="4"/>
    </row>
    <row r="1003" spans="1:36" ht="12.75" x14ac:dyDescent="0.2">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3"/>
      <c r="AI1003" s="4"/>
      <c r="AJ1003" s="4"/>
    </row>
    <row r="1004" spans="1:36" ht="12.75" x14ac:dyDescent="0.2">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3"/>
      <c r="AI1004" s="4"/>
      <c r="AJ1004" s="4"/>
    </row>
    <row r="1005" spans="1:36" ht="12.75" x14ac:dyDescent="0.2">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3"/>
      <c r="AI1005" s="4"/>
      <c r="AJ1005" s="4"/>
    </row>
    <row r="1006" spans="1:36" ht="12.75" x14ac:dyDescent="0.2">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3"/>
      <c r="AI1006" s="4"/>
      <c r="AJ1006" s="4"/>
    </row>
    <row r="1007" spans="1:36" ht="12.75" x14ac:dyDescent="0.2">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3"/>
      <c r="AI1007" s="4"/>
      <c r="AJ1007" s="4"/>
    </row>
    <row r="1008" spans="1:36" ht="12.75" x14ac:dyDescent="0.2">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3"/>
      <c r="AI1008" s="4"/>
      <c r="AJ1008" s="4"/>
    </row>
  </sheetData>
  <mergeCells count="2">
    <mergeCell ref="D1:I1"/>
    <mergeCell ref="D2:E2"/>
  </mergeCells>
  <hyperlinks>
    <hyperlink ref="AB26" r:id="rId1" xr:uid="{00000000-0004-0000-0000-000000000000}"/>
    <hyperlink ref="AB28" r:id="rId2" xr:uid="{00000000-0004-0000-0000-000001000000}"/>
    <hyperlink ref="AB31" r:id="rId3" xr:uid="{00000000-0004-0000-0000-000002000000}"/>
    <hyperlink ref="AB32" r:id="rId4" xr:uid="{00000000-0004-0000-0000-000003000000}"/>
    <hyperlink ref="AB33" r:id="rId5" xr:uid="{00000000-0004-0000-0000-000004000000}"/>
    <hyperlink ref="AB34" r:id="rId6" xr:uid="{00000000-0004-0000-0000-000005000000}"/>
    <hyperlink ref="AB35" r:id="rId7" xr:uid="{00000000-0004-0000-0000-000006000000}"/>
    <hyperlink ref="AB36" r:id="rId8" xr:uid="{00000000-0004-0000-0000-000007000000}"/>
    <hyperlink ref="AB37" r:id="rId9" xr:uid="{00000000-0004-0000-0000-000008000000}"/>
    <hyperlink ref="AB38" r:id="rId10" xr:uid="{00000000-0004-0000-0000-000009000000}"/>
    <hyperlink ref="AB39" r:id="rId11" xr:uid="{00000000-0004-0000-0000-00000A000000}"/>
    <hyperlink ref="AB40" r:id="rId12" xr:uid="{00000000-0004-0000-0000-00000B000000}"/>
    <hyperlink ref="AB41" r:id="rId13" xr:uid="{00000000-0004-0000-0000-00000C000000}"/>
    <hyperlink ref="AB42" r:id="rId14" xr:uid="{00000000-0004-0000-0000-00000D000000}"/>
    <hyperlink ref="AB43" r:id="rId15" xr:uid="{00000000-0004-0000-0000-00000E000000}"/>
    <hyperlink ref="AB44" r:id="rId16" xr:uid="{00000000-0004-0000-0000-00000F000000}"/>
    <hyperlink ref="AB45" r:id="rId17" xr:uid="{00000000-0004-0000-0000-000010000000}"/>
    <hyperlink ref="AB46" r:id="rId18" xr:uid="{00000000-0004-0000-0000-000011000000}"/>
  </hyperlinks>
  <pageMargins left="0.7" right="0.7" top="0.75" bottom="0.75" header="0.3" footer="0.3"/>
  <pageSetup paperSize="9" orientation="portrait" r:id="rId19"/>
  <legacy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K65"/>
  <sheetViews>
    <sheetView workbookViewId="0"/>
  </sheetViews>
  <sheetFormatPr defaultColWidth="12.7109375" defaultRowHeight="15.75" customHeight="1" x14ac:dyDescent="0.2"/>
  <sheetData>
    <row r="1" spans="1:115" ht="15.75" customHeight="1" x14ac:dyDescent="0.25">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row>
    <row r="2" spans="1:115" ht="15.75" customHeight="1" x14ac:dyDescent="0.25">
      <c r="A2" s="45"/>
      <c r="B2" s="46"/>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45"/>
      <c r="CE2" s="45"/>
      <c r="CF2" s="45"/>
      <c r="CG2" s="45"/>
      <c r="CH2" s="45"/>
      <c r="CI2" s="45"/>
      <c r="CJ2" s="45"/>
      <c r="CK2" s="45"/>
      <c r="CL2" s="45"/>
      <c r="CM2" s="45"/>
      <c r="CN2" s="45"/>
      <c r="CO2" s="45"/>
      <c r="CP2" s="45"/>
      <c r="CQ2" s="45"/>
      <c r="CR2" s="45"/>
      <c r="CS2" s="45"/>
      <c r="CT2" s="45"/>
      <c r="CU2" s="45"/>
      <c r="CV2" s="45"/>
      <c r="CW2" s="45"/>
      <c r="CX2" s="45"/>
      <c r="CY2" s="45"/>
      <c r="CZ2" s="45"/>
      <c r="DA2" s="45"/>
      <c r="DB2" s="45"/>
      <c r="DC2" s="45"/>
      <c r="DD2" s="45"/>
      <c r="DE2" s="45"/>
      <c r="DF2" s="45"/>
      <c r="DG2" s="45"/>
      <c r="DH2" s="45"/>
      <c r="DI2" s="45"/>
      <c r="DJ2" s="45"/>
      <c r="DK2" s="45"/>
    </row>
    <row r="3" spans="1:115" ht="15.75" customHeight="1" x14ac:dyDescent="0.25">
      <c r="A3" s="45"/>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row>
    <row r="4" spans="1:115" ht="15.75" customHeight="1" x14ac:dyDescent="0.25">
      <c r="A4" s="45"/>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c r="CB4" s="45"/>
      <c r="CC4" s="45"/>
      <c r="CD4" s="45"/>
      <c r="CE4" s="45"/>
      <c r="CF4" s="45"/>
      <c r="CG4" s="45"/>
      <c r="CH4" s="45"/>
      <c r="CI4" s="45"/>
      <c r="CJ4" s="45"/>
      <c r="CK4" s="45"/>
      <c r="CL4" s="45"/>
      <c r="CM4" s="45"/>
      <c r="CN4" s="45"/>
      <c r="CO4" s="45"/>
      <c r="CP4" s="45"/>
      <c r="CQ4" s="45"/>
      <c r="CR4" s="45"/>
      <c r="CS4" s="45"/>
      <c r="CT4" s="45"/>
      <c r="CU4" s="45"/>
      <c r="CV4" s="45"/>
      <c r="CW4" s="45"/>
      <c r="CX4" s="45"/>
      <c r="CY4" s="45"/>
      <c r="CZ4" s="45"/>
      <c r="DA4" s="45"/>
      <c r="DB4" s="45"/>
      <c r="DC4" s="45"/>
      <c r="DD4" s="45"/>
      <c r="DE4" s="45"/>
      <c r="DF4" s="45"/>
      <c r="DG4" s="45"/>
      <c r="DH4" s="45"/>
      <c r="DI4" s="45"/>
      <c r="DJ4" s="45"/>
      <c r="DK4" s="45"/>
    </row>
    <row r="5" spans="1:115" ht="15.75" customHeight="1" x14ac:dyDescent="0.25">
      <c r="A5" s="45"/>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row>
    <row r="6" spans="1:115" ht="15.75" customHeight="1" x14ac:dyDescent="0.25">
      <c r="A6" s="45"/>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row>
    <row r="7" spans="1:115" ht="15.75" customHeight="1" x14ac:dyDescent="0.25">
      <c r="A7" s="45"/>
      <c r="B7" s="47" t="s">
        <v>142</v>
      </c>
      <c r="C7" s="48"/>
      <c r="D7" s="49" t="s">
        <v>143</v>
      </c>
      <c r="E7" s="48"/>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row>
    <row r="8" spans="1:115" ht="15.75" customHeight="1" x14ac:dyDescent="0.25">
      <c r="A8" s="45"/>
      <c r="B8" s="47"/>
      <c r="C8" s="48"/>
      <c r="D8" s="48"/>
      <c r="E8" s="48"/>
      <c r="F8" s="48"/>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row>
    <row r="9" spans="1:115" ht="15.75" customHeight="1" x14ac:dyDescent="0.25">
      <c r="A9" s="45"/>
      <c r="B9" s="50" t="s">
        <v>144</v>
      </c>
      <c r="C9" s="48"/>
      <c r="D9" s="51">
        <v>44875</v>
      </c>
      <c r="E9" s="48"/>
      <c r="F9" s="52"/>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row>
    <row r="10" spans="1:115" ht="15.75" customHeight="1" x14ac:dyDescent="0.25">
      <c r="A10" s="45"/>
      <c r="B10" s="99" t="s">
        <v>145</v>
      </c>
      <c r="C10" s="48"/>
      <c r="D10" s="53" t="s">
        <v>146</v>
      </c>
      <c r="E10" s="48"/>
      <c r="F10" s="53"/>
      <c r="G10" s="54"/>
      <c r="H10" s="54"/>
      <c r="I10" s="54"/>
      <c r="J10" s="54"/>
      <c r="K10" s="54"/>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row>
    <row r="11" spans="1:115" ht="15.75" customHeight="1" x14ac:dyDescent="0.25">
      <c r="A11" s="45"/>
      <c r="B11" s="97"/>
      <c r="C11" s="48"/>
      <c r="D11" s="53" t="s">
        <v>147</v>
      </c>
      <c r="E11" s="48"/>
      <c r="F11" s="53"/>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row>
    <row r="12" spans="1:115" ht="15.75" customHeight="1" x14ac:dyDescent="0.25">
      <c r="A12" s="45"/>
      <c r="B12" s="45"/>
      <c r="C12" s="48"/>
      <c r="D12" s="55" t="s">
        <v>148</v>
      </c>
      <c r="E12" s="48"/>
      <c r="F12" s="56"/>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row>
    <row r="13" spans="1:115" ht="15.75" customHeight="1" x14ac:dyDescent="0.25">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row>
    <row r="14" spans="1:115" ht="15.75" customHeight="1" x14ac:dyDescent="0.25">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row>
    <row r="15" spans="1:115" ht="15.75" customHeight="1" x14ac:dyDescent="0.25">
      <c r="A15" s="57"/>
      <c r="B15" s="58" t="s">
        <v>5</v>
      </c>
      <c r="C15" s="58" t="s">
        <v>149</v>
      </c>
      <c r="D15" s="58" t="s">
        <v>150</v>
      </c>
      <c r="E15" s="58" t="s">
        <v>151</v>
      </c>
      <c r="F15" s="58" t="s">
        <v>152</v>
      </c>
      <c r="G15" s="58" t="s">
        <v>153</v>
      </c>
      <c r="H15" s="58" t="s">
        <v>154</v>
      </c>
      <c r="I15" s="58" t="s">
        <v>155</v>
      </c>
      <c r="J15" s="58" t="s">
        <v>156</v>
      </c>
      <c r="K15" s="58" t="s">
        <v>157</v>
      </c>
      <c r="L15" s="58" t="s">
        <v>158</v>
      </c>
      <c r="M15" s="58" t="s">
        <v>159</v>
      </c>
      <c r="N15" s="58" t="s">
        <v>160</v>
      </c>
      <c r="O15" s="57"/>
      <c r="P15" s="57"/>
      <c r="Q15" s="57" t="s">
        <v>161</v>
      </c>
      <c r="R15" s="57"/>
      <c r="S15" s="57"/>
      <c r="T15" s="57"/>
      <c r="U15" s="59" t="s">
        <v>162</v>
      </c>
      <c r="V15" s="60" t="s">
        <v>125</v>
      </c>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row>
    <row r="16" spans="1:115" ht="15.75" customHeight="1" x14ac:dyDescent="0.25">
      <c r="A16" s="48"/>
      <c r="B16" s="61" t="s">
        <v>106</v>
      </c>
      <c r="C16" s="62" t="s">
        <v>107</v>
      </c>
      <c r="D16" s="63" t="s">
        <v>163</v>
      </c>
      <c r="E16" s="62">
        <v>2050</v>
      </c>
      <c r="F16" s="63" t="s">
        <v>164</v>
      </c>
      <c r="G16" s="64" t="s">
        <v>165</v>
      </c>
      <c r="H16" s="63" t="s">
        <v>166</v>
      </c>
      <c r="I16" s="63" t="s">
        <v>167</v>
      </c>
      <c r="J16" s="63" t="s">
        <v>168</v>
      </c>
      <c r="K16" s="63" t="s">
        <v>168</v>
      </c>
      <c r="L16" s="63" t="s">
        <v>169</v>
      </c>
      <c r="M16" s="63" t="s">
        <v>162</v>
      </c>
      <c r="N16" s="64" t="s">
        <v>170</v>
      </c>
      <c r="O16" s="48"/>
      <c r="P16" s="48"/>
      <c r="Q16" s="48" t="str">
        <f t="shared" ref="Q16:Q46" si="0">INDEX($V$15:$V$18,MATCH($M16,$U$15:$U$18, 0))</f>
        <v>Credible</v>
      </c>
      <c r="R16" s="48"/>
      <c r="S16" s="48"/>
      <c r="T16" s="48"/>
      <c r="U16" s="59" t="s">
        <v>171</v>
      </c>
      <c r="V16" s="60" t="s">
        <v>125</v>
      </c>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row>
    <row r="17" spans="1:115" ht="15.75" customHeight="1" x14ac:dyDescent="0.25">
      <c r="A17" s="48"/>
      <c r="B17" s="61" t="s">
        <v>102</v>
      </c>
      <c r="C17" s="62" t="s">
        <v>103</v>
      </c>
      <c r="D17" s="63" t="s">
        <v>163</v>
      </c>
      <c r="E17" s="62">
        <v>2050</v>
      </c>
      <c r="F17" s="63" t="s">
        <v>164</v>
      </c>
      <c r="G17" s="64" t="s">
        <v>165</v>
      </c>
      <c r="H17" s="63" t="s">
        <v>166</v>
      </c>
      <c r="I17" s="63" t="s">
        <v>167</v>
      </c>
      <c r="J17" s="63" t="s">
        <v>168</v>
      </c>
      <c r="K17" s="63" t="s">
        <v>168</v>
      </c>
      <c r="L17" s="65" t="s">
        <v>172</v>
      </c>
      <c r="M17" s="63" t="s">
        <v>162</v>
      </c>
      <c r="N17" s="63" t="s">
        <v>173</v>
      </c>
      <c r="O17" s="48"/>
      <c r="P17" s="48"/>
      <c r="Q17" s="48" t="str">
        <f t="shared" si="0"/>
        <v>Credible</v>
      </c>
      <c r="R17" s="48"/>
      <c r="S17" s="48"/>
      <c r="T17" s="48"/>
      <c r="U17" s="48" t="s">
        <v>174</v>
      </c>
      <c r="V17" s="60" t="s">
        <v>175</v>
      </c>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row>
    <row r="18" spans="1:115" ht="15.75" customHeight="1" x14ac:dyDescent="0.25">
      <c r="A18" s="48"/>
      <c r="B18" s="61" t="s">
        <v>176</v>
      </c>
      <c r="C18" s="62" t="s">
        <v>177</v>
      </c>
      <c r="D18" s="63" t="s">
        <v>163</v>
      </c>
      <c r="E18" s="62">
        <v>2050</v>
      </c>
      <c r="F18" s="63" t="s">
        <v>164</v>
      </c>
      <c r="G18" s="64" t="s">
        <v>165</v>
      </c>
      <c r="H18" s="63" t="s">
        <v>166</v>
      </c>
      <c r="I18" s="65" t="s">
        <v>178</v>
      </c>
      <c r="J18" s="63" t="s">
        <v>168</v>
      </c>
      <c r="K18" s="65" t="s">
        <v>179</v>
      </c>
      <c r="L18" s="63" t="s">
        <v>169</v>
      </c>
      <c r="M18" s="63" t="s">
        <v>162</v>
      </c>
      <c r="N18" s="64" t="s">
        <v>170</v>
      </c>
      <c r="O18" s="48"/>
      <c r="P18" s="48"/>
      <c r="Q18" s="48" t="str">
        <f t="shared" si="0"/>
        <v>Credible</v>
      </c>
      <c r="R18" s="48"/>
      <c r="S18" s="48"/>
      <c r="T18" s="48"/>
      <c r="U18" s="48" t="s">
        <v>180</v>
      </c>
      <c r="V18" s="60" t="s">
        <v>83</v>
      </c>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row>
    <row r="19" spans="1:115" ht="15.75" customHeight="1" x14ac:dyDescent="0.25">
      <c r="A19" s="48"/>
      <c r="B19" s="61" t="s">
        <v>52</v>
      </c>
      <c r="C19" s="62" t="s">
        <v>53</v>
      </c>
      <c r="D19" s="63" t="s">
        <v>163</v>
      </c>
      <c r="E19" s="62">
        <v>2050</v>
      </c>
      <c r="F19" s="63" t="s">
        <v>164</v>
      </c>
      <c r="G19" s="65" t="s">
        <v>181</v>
      </c>
      <c r="H19" s="63" t="s">
        <v>166</v>
      </c>
      <c r="I19" s="63" t="s">
        <v>167</v>
      </c>
      <c r="J19" s="64" t="s">
        <v>182</v>
      </c>
      <c r="K19" s="63" t="s">
        <v>168</v>
      </c>
      <c r="L19" s="63" t="s">
        <v>169</v>
      </c>
      <c r="M19" s="63" t="s">
        <v>162</v>
      </c>
      <c r="N19" s="64" t="s">
        <v>170</v>
      </c>
      <c r="O19" s="48"/>
      <c r="P19" s="48"/>
      <c r="Q19" s="48" t="str">
        <f t="shared" si="0"/>
        <v>Credible</v>
      </c>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row>
    <row r="20" spans="1:115" ht="15.75" customHeight="1" x14ac:dyDescent="0.25">
      <c r="A20" s="48"/>
      <c r="B20" s="61" t="s">
        <v>183</v>
      </c>
      <c r="C20" s="62" t="s">
        <v>78</v>
      </c>
      <c r="D20" s="63" t="s">
        <v>163</v>
      </c>
      <c r="E20" s="62">
        <v>2050</v>
      </c>
      <c r="F20" s="63" t="s">
        <v>164</v>
      </c>
      <c r="G20" s="63" t="s">
        <v>184</v>
      </c>
      <c r="H20" s="64" t="s">
        <v>185</v>
      </c>
      <c r="I20" s="63" t="s">
        <v>167</v>
      </c>
      <c r="J20" s="64" t="s">
        <v>182</v>
      </c>
      <c r="K20" s="63" t="s">
        <v>168</v>
      </c>
      <c r="L20" s="63" t="s">
        <v>169</v>
      </c>
      <c r="M20" s="65" t="s">
        <v>171</v>
      </c>
      <c r="N20" s="65" t="s">
        <v>186</v>
      </c>
      <c r="O20" s="48"/>
      <c r="P20" s="48"/>
      <c r="Q20" s="48" t="str">
        <f t="shared" si="0"/>
        <v>Credible</v>
      </c>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row>
    <row r="21" spans="1:115" ht="15.75" customHeight="1" x14ac:dyDescent="0.25">
      <c r="A21" s="48"/>
      <c r="B21" s="61" t="s">
        <v>187</v>
      </c>
      <c r="C21" s="62" t="s">
        <v>101</v>
      </c>
      <c r="D21" s="63" t="s">
        <v>163</v>
      </c>
      <c r="E21" s="62">
        <v>2050</v>
      </c>
      <c r="F21" s="63" t="s">
        <v>164</v>
      </c>
      <c r="G21" s="64" t="s">
        <v>165</v>
      </c>
      <c r="H21" s="64" t="s">
        <v>185</v>
      </c>
      <c r="I21" s="63" t="s">
        <v>167</v>
      </c>
      <c r="J21" s="63" t="s">
        <v>168</v>
      </c>
      <c r="K21" s="63" t="s">
        <v>168</v>
      </c>
      <c r="L21" s="65" t="s">
        <v>172</v>
      </c>
      <c r="M21" s="63" t="s">
        <v>162</v>
      </c>
      <c r="N21" s="64" t="s">
        <v>170</v>
      </c>
      <c r="O21" s="48"/>
      <c r="P21" s="48"/>
      <c r="Q21" s="48" t="str">
        <f t="shared" si="0"/>
        <v>Credible</v>
      </c>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row>
    <row r="22" spans="1:115" ht="15.75" customHeight="1" x14ac:dyDescent="0.25">
      <c r="A22" s="48"/>
      <c r="B22" s="61" t="s">
        <v>47</v>
      </c>
      <c r="C22" s="62" t="s">
        <v>48</v>
      </c>
      <c r="D22" s="65" t="s">
        <v>188</v>
      </c>
      <c r="E22" s="62">
        <v>2050</v>
      </c>
      <c r="F22" s="63" t="s">
        <v>164</v>
      </c>
      <c r="G22" s="64" t="s">
        <v>165</v>
      </c>
      <c r="H22" s="63" t="s">
        <v>166</v>
      </c>
      <c r="I22" s="63" t="s">
        <v>167</v>
      </c>
      <c r="J22" s="64" t="s">
        <v>182</v>
      </c>
      <c r="K22" s="63" t="s">
        <v>168</v>
      </c>
      <c r="L22" s="64" t="s">
        <v>189</v>
      </c>
      <c r="M22" s="65" t="s">
        <v>171</v>
      </c>
      <c r="N22" s="64" t="s">
        <v>170</v>
      </c>
      <c r="O22" s="48"/>
      <c r="P22" s="48"/>
      <c r="Q22" s="48" t="str">
        <f t="shared" si="0"/>
        <v>Credible</v>
      </c>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row>
    <row r="23" spans="1:115" ht="15.75" customHeight="1" x14ac:dyDescent="0.25">
      <c r="A23" s="48"/>
      <c r="B23" s="61" t="s">
        <v>190</v>
      </c>
      <c r="C23" s="62" t="s">
        <v>191</v>
      </c>
      <c r="D23" s="65" t="s">
        <v>188</v>
      </c>
      <c r="E23" s="62">
        <v>2045</v>
      </c>
      <c r="F23" s="63" t="s">
        <v>164</v>
      </c>
      <c r="G23" s="64" t="s">
        <v>165</v>
      </c>
      <c r="H23" s="64" t="s">
        <v>185</v>
      </c>
      <c r="I23" s="63" t="s">
        <v>167</v>
      </c>
      <c r="J23" s="63" t="s">
        <v>168</v>
      </c>
      <c r="K23" s="63" t="s">
        <v>168</v>
      </c>
      <c r="L23" s="64" t="s">
        <v>189</v>
      </c>
      <c r="M23" s="65" t="s">
        <v>171</v>
      </c>
      <c r="N23" s="65" t="s">
        <v>186</v>
      </c>
      <c r="O23" s="48"/>
      <c r="P23" s="48"/>
      <c r="Q23" s="48" t="str">
        <f t="shared" si="0"/>
        <v>Credible</v>
      </c>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row>
    <row r="24" spans="1:115" ht="15.75" customHeight="1" x14ac:dyDescent="0.25">
      <c r="A24" s="48"/>
      <c r="B24" s="61" t="s">
        <v>87</v>
      </c>
      <c r="C24" s="62" t="s">
        <v>88</v>
      </c>
      <c r="D24" s="65" t="s">
        <v>188</v>
      </c>
      <c r="E24" s="62" t="s">
        <v>192</v>
      </c>
      <c r="F24" s="65" t="s">
        <v>193</v>
      </c>
      <c r="G24" s="64" t="s">
        <v>165</v>
      </c>
      <c r="H24" s="63" t="s">
        <v>166</v>
      </c>
      <c r="I24" s="65" t="s">
        <v>178</v>
      </c>
      <c r="J24" s="64" t="s">
        <v>182</v>
      </c>
      <c r="K24" s="63" t="s">
        <v>168</v>
      </c>
      <c r="L24" s="64" t="s">
        <v>189</v>
      </c>
      <c r="M24" s="65" t="s">
        <v>171</v>
      </c>
      <c r="N24" s="64" t="s">
        <v>170</v>
      </c>
      <c r="O24" s="48"/>
      <c r="P24" s="48"/>
      <c r="Q24" s="48" t="str">
        <f t="shared" si="0"/>
        <v>Credible</v>
      </c>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row>
    <row r="25" spans="1:115" ht="15.75" customHeight="1" x14ac:dyDescent="0.25">
      <c r="A25" s="48"/>
      <c r="B25" s="61" t="s">
        <v>194</v>
      </c>
      <c r="C25" s="62" t="s">
        <v>66</v>
      </c>
      <c r="D25" s="65" t="s">
        <v>188</v>
      </c>
      <c r="E25" s="62">
        <v>2050</v>
      </c>
      <c r="F25" s="64" t="s">
        <v>195</v>
      </c>
      <c r="G25" s="64" t="s">
        <v>165</v>
      </c>
      <c r="H25" s="63" t="s">
        <v>166</v>
      </c>
      <c r="I25" s="63" t="s">
        <v>167</v>
      </c>
      <c r="J25" s="63" t="s">
        <v>168</v>
      </c>
      <c r="K25" s="65" t="s">
        <v>179</v>
      </c>
      <c r="L25" s="63" t="s">
        <v>169</v>
      </c>
      <c r="M25" s="65" t="s">
        <v>171</v>
      </c>
      <c r="N25" s="64" t="s">
        <v>170</v>
      </c>
      <c r="O25" s="48"/>
      <c r="P25" s="48"/>
      <c r="Q25" s="48" t="str">
        <f t="shared" si="0"/>
        <v>Credible</v>
      </c>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row>
    <row r="26" spans="1:115" ht="15.75" customHeight="1" x14ac:dyDescent="0.25">
      <c r="A26" s="48"/>
      <c r="B26" s="61" t="s">
        <v>196</v>
      </c>
      <c r="C26" s="62" t="s">
        <v>197</v>
      </c>
      <c r="D26" s="65" t="s">
        <v>188</v>
      </c>
      <c r="E26" s="62">
        <v>2050</v>
      </c>
      <c r="F26" s="63" t="s">
        <v>164</v>
      </c>
      <c r="G26" s="63" t="s">
        <v>184</v>
      </c>
      <c r="H26" s="65" t="s">
        <v>198</v>
      </c>
      <c r="I26" s="65" t="s">
        <v>178</v>
      </c>
      <c r="J26" s="63" t="s">
        <v>168</v>
      </c>
      <c r="K26" s="64" t="s">
        <v>199</v>
      </c>
      <c r="L26" s="64" t="s">
        <v>189</v>
      </c>
      <c r="M26" s="65" t="s">
        <v>171</v>
      </c>
      <c r="N26" s="64" t="s">
        <v>170</v>
      </c>
      <c r="O26" s="48"/>
      <c r="P26" s="48"/>
      <c r="Q26" s="48" t="str">
        <f t="shared" si="0"/>
        <v>Credible</v>
      </c>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row>
    <row r="27" spans="1:115" ht="15.75" customHeight="1" x14ac:dyDescent="0.25">
      <c r="A27" s="48"/>
      <c r="B27" s="61" t="s">
        <v>90</v>
      </c>
      <c r="C27" s="62" t="s">
        <v>91</v>
      </c>
      <c r="D27" s="65" t="s">
        <v>188</v>
      </c>
      <c r="E27" s="62">
        <v>2065</v>
      </c>
      <c r="F27" s="65" t="s">
        <v>193</v>
      </c>
      <c r="G27" s="64" t="s">
        <v>165</v>
      </c>
      <c r="H27" s="63" t="s">
        <v>166</v>
      </c>
      <c r="I27" s="65" t="s">
        <v>178</v>
      </c>
      <c r="J27" s="63" t="s">
        <v>168</v>
      </c>
      <c r="K27" s="65" t="s">
        <v>179</v>
      </c>
      <c r="L27" s="63" t="s">
        <v>169</v>
      </c>
      <c r="M27" s="63" t="s">
        <v>162</v>
      </c>
      <c r="N27" s="64" t="s">
        <v>170</v>
      </c>
      <c r="O27" s="48"/>
      <c r="P27" s="48"/>
      <c r="Q27" s="48" t="str">
        <f t="shared" si="0"/>
        <v>Credible</v>
      </c>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row>
    <row r="28" spans="1:115" ht="15.75" customHeight="1" x14ac:dyDescent="0.25">
      <c r="A28" s="48"/>
      <c r="B28" s="61" t="s">
        <v>200</v>
      </c>
      <c r="C28" s="62" t="s">
        <v>80</v>
      </c>
      <c r="D28" s="65" t="s">
        <v>188</v>
      </c>
      <c r="E28" s="62">
        <v>2050</v>
      </c>
      <c r="F28" s="63" t="s">
        <v>164</v>
      </c>
      <c r="G28" s="64" t="s">
        <v>165</v>
      </c>
      <c r="H28" s="64" t="s">
        <v>185</v>
      </c>
      <c r="I28" s="65" t="s">
        <v>178</v>
      </c>
      <c r="J28" s="64" t="s">
        <v>182</v>
      </c>
      <c r="K28" s="65" t="s">
        <v>179</v>
      </c>
      <c r="L28" s="63" t="s">
        <v>169</v>
      </c>
      <c r="M28" s="65" t="s">
        <v>171</v>
      </c>
      <c r="N28" s="64" t="s">
        <v>170</v>
      </c>
      <c r="O28" s="48"/>
      <c r="P28" s="48"/>
      <c r="Q28" s="48" t="str">
        <f t="shared" si="0"/>
        <v>Credible</v>
      </c>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row>
    <row r="29" spans="1:115" ht="15.75" customHeight="1" x14ac:dyDescent="0.25">
      <c r="A29" s="48"/>
      <c r="B29" s="61" t="s">
        <v>31</v>
      </c>
      <c r="C29" s="62" t="s">
        <v>32</v>
      </c>
      <c r="D29" s="64" t="s">
        <v>201</v>
      </c>
      <c r="E29" s="62">
        <v>2050</v>
      </c>
      <c r="F29" s="63" t="s">
        <v>164</v>
      </c>
      <c r="G29" s="64" t="s">
        <v>165</v>
      </c>
      <c r="H29" s="64" t="s">
        <v>185</v>
      </c>
      <c r="I29" s="65" t="s">
        <v>178</v>
      </c>
      <c r="J29" s="64" t="s">
        <v>182</v>
      </c>
      <c r="K29" s="64" t="s">
        <v>199</v>
      </c>
      <c r="L29" s="64" t="s">
        <v>189</v>
      </c>
      <c r="M29" s="64" t="s">
        <v>174</v>
      </c>
      <c r="N29" s="63" t="s">
        <v>173</v>
      </c>
      <c r="O29" s="48"/>
      <c r="P29" s="48"/>
      <c r="Q29" s="48" t="str">
        <f t="shared" si="0"/>
        <v>Weaker</v>
      </c>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row>
    <row r="30" spans="1:115" ht="15.75" customHeight="1" x14ac:dyDescent="0.25">
      <c r="A30" s="48"/>
      <c r="B30" s="61" t="s">
        <v>39</v>
      </c>
      <c r="C30" s="62" t="s">
        <v>40</v>
      </c>
      <c r="D30" s="64" t="s">
        <v>201</v>
      </c>
      <c r="E30" s="62">
        <v>2050</v>
      </c>
      <c r="F30" s="63" t="s">
        <v>164</v>
      </c>
      <c r="G30" s="64" t="s">
        <v>165</v>
      </c>
      <c r="H30" s="64" t="s">
        <v>185</v>
      </c>
      <c r="I30" s="65" t="s">
        <v>178</v>
      </c>
      <c r="J30" s="64" t="s">
        <v>182</v>
      </c>
      <c r="K30" s="65" t="s">
        <v>179</v>
      </c>
      <c r="L30" s="64" t="s">
        <v>189</v>
      </c>
      <c r="M30" s="64" t="s">
        <v>174</v>
      </c>
      <c r="N30" s="64" t="s">
        <v>170</v>
      </c>
      <c r="O30" s="48"/>
      <c r="P30" s="48"/>
      <c r="Q30" s="48" t="str">
        <f t="shared" si="0"/>
        <v>Weaker</v>
      </c>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row>
    <row r="31" spans="1:115" ht="15.75" customHeight="1" x14ac:dyDescent="0.25">
      <c r="A31" s="48"/>
      <c r="B31" s="61" t="s">
        <v>50</v>
      </c>
      <c r="C31" s="62" t="s">
        <v>51</v>
      </c>
      <c r="D31" s="64" t="s">
        <v>201</v>
      </c>
      <c r="E31" s="62">
        <v>2060</v>
      </c>
      <c r="F31" s="64" t="s">
        <v>195</v>
      </c>
      <c r="G31" s="64" t="s">
        <v>165</v>
      </c>
      <c r="H31" s="64" t="s">
        <v>185</v>
      </c>
      <c r="I31" s="65" t="s">
        <v>178</v>
      </c>
      <c r="J31" s="64" t="s">
        <v>182</v>
      </c>
      <c r="K31" s="65" t="s">
        <v>179</v>
      </c>
      <c r="L31" s="64" t="s">
        <v>189</v>
      </c>
      <c r="M31" s="65" t="s">
        <v>171</v>
      </c>
      <c r="N31" s="65" t="s">
        <v>186</v>
      </c>
      <c r="O31" s="48"/>
      <c r="P31" s="48"/>
      <c r="Q31" s="48" t="str">
        <f t="shared" si="0"/>
        <v>Credible</v>
      </c>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row>
    <row r="32" spans="1:115" ht="15.75" customHeight="1" x14ac:dyDescent="0.25">
      <c r="A32" s="48"/>
      <c r="B32" s="61" t="s">
        <v>58</v>
      </c>
      <c r="C32" s="62" t="s">
        <v>59</v>
      </c>
      <c r="D32" s="64" t="s">
        <v>201</v>
      </c>
      <c r="E32" s="62">
        <v>2050</v>
      </c>
      <c r="F32" s="63" t="s">
        <v>164</v>
      </c>
      <c r="G32" s="64" t="s">
        <v>165</v>
      </c>
      <c r="H32" s="64" t="s">
        <v>185</v>
      </c>
      <c r="I32" s="63" t="s">
        <v>167</v>
      </c>
      <c r="J32" s="64" t="s">
        <v>182</v>
      </c>
      <c r="K32" s="65" t="s">
        <v>179</v>
      </c>
      <c r="L32" s="64" t="s">
        <v>189</v>
      </c>
      <c r="M32" s="65" t="s">
        <v>171</v>
      </c>
      <c r="N32" s="64" t="s">
        <v>170</v>
      </c>
      <c r="O32" s="48"/>
      <c r="P32" s="48"/>
      <c r="Q32" s="48" t="str">
        <f t="shared" si="0"/>
        <v>Credible</v>
      </c>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row>
    <row r="33" spans="1:115" ht="15" x14ac:dyDescent="0.25">
      <c r="A33" s="48"/>
      <c r="B33" s="61" t="s">
        <v>93</v>
      </c>
      <c r="C33" s="62" t="s">
        <v>94</v>
      </c>
      <c r="D33" s="64" t="s">
        <v>201</v>
      </c>
      <c r="E33" s="62">
        <v>2060</v>
      </c>
      <c r="F33" s="63" t="s">
        <v>164</v>
      </c>
      <c r="G33" s="64" t="s">
        <v>165</v>
      </c>
      <c r="H33" s="64" t="s">
        <v>185</v>
      </c>
      <c r="I33" s="65" t="s">
        <v>178</v>
      </c>
      <c r="J33" s="64" t="s">
        <v>182</v>
      </c>
      <c r="K33" s="64" t="s">
        <v>199</v>
      </c>
      <c r="L33" s="65" t="s">
        <v>172</v>
      </c>
      <c r="M33" s="63" t="s">
        <v>162</v>
      </c>
      <c r="N33" s="64" t="s">
        <v>170</v>
      </c>
      <c r="O33" s="48"/>
      <c r="P33" s="48"/>
      <c r="Q33" s="48" t="str">
        <f t="shared" si="0"/>
        <v>Credible</v>
      </c>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row>
    <row r="34" spans="1:115" ht="15" x14ac:dyDescent="0.25">
      <c r="A34" s="48"/>
      <c r="B34" s="61" t="s">
        <v>121</v>
      </c>
      <c r="C34" s="62" t="s">
        <v>122</v>
      </c>
      <c r="D34" s="64" t="s">
        <v>201</v>
      </c>
      <c r="E34" s="62">
        <v>2050</v>
      </c>
      <c r="F34" s="64" t="s">
        <v>195</v>
      </c>
      <c r="G34" s="64" t="s">
        <v>165</v>
      </c>
      <c r="H34" s="64" t="s">
        <v>185</v>
      </c>
      <c r="I34" s="63" t="s">
        <v>167</v>
      </c>
      <c r="J34" s="64" t="s">
        <v>182</v>
      </c>
      <c r="K34" s="63" t="s">
        <v>168</v>
      </c>
      <c r="L34" s="64" t="s">
        <v>189</v>
      </c>
      <c r="M34" s="65" t="s">
        <v>171</v>
      </c>
      <c r="N34" s="64" t="s">
        <v>170</v>
      </c>
      <c r="O34" s="48"/>
      <c r="P34" s="48"/>
      <c r="Q34" s="48" t="str">
        <f t="shared" si="0"/>
        <v>Credible</v>
      </c>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row>
    <row r="35" spans="1:115" ht="15" x14ac:dyDescent="0.25">
      <c r="A35" s="48"/>
      <c r="B35" s="61" t="s">
        <v>68</v>
      </c>
      <c r="C35" s="62" t="s">
        <v>69</v>
      </c>
      <c r="D35" s="64" t="s">
        <v>201</v>
      </c>
      <c r="E35" s="62">
        <v>2060</v>
      </c>
      <c r="F35" s="63" t="s">
        <v>164</v>
      </c>
      <c r="G35" s="64" t="s">
        <v>165</v>
      </c>
      <c r="H35" s="64" t="s">
        <v>185</v>
      </c>
      <c r="I35" s="63" t="s">
        <v>167</v>
      </c>
      <c r="J35" s="64" t="s">
        <v>182</v>
      </c>
      <c r="K35" s="65" t="s">
        <v>179</v>
      </c>
      <c r="L35" s="64" t="s">
        <v>189</v>
      </c>
      <c r="M35" s="65" t="s">
        <v>171</v>
      </c>
      <c r="N35" s="64" t="s">
        <v>170</v>
      </c>
      <c r="O35" s="48"/>
      <c r="P35" s="48"/>
      <c r="Q35" s="48" t="str">
        <f t="shared" si="0"/>
        <v>Credible</v>
      </c>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row>
    <row r="36" spans="1:115" ht="15" x14ac:dyDescent="0.25">
      <c r="A36" s="48"/>
      <c r="B36" s="61" t="s">
        <v>129</v>
      </c>
      <c r="C36" s="62" t="s">
        <v>130</v>
      </c>
      <c r="D36" s="64" t="s">
        <v>201</v>
      </c>
      <c r="E36" s="62">
        <v>2050</v>
      </c>
      <c r="F36" s="63" t="s">
        <v>164</v>
      </c>
      <c r="G36" s="64" t="s">
        <v>165</v>
      </c>
      <c r="H36" s="64" t="s">
        <v>185</v>
      </c>
      <c r="I36" s="65" t="s">
        <v>178</v>
      </c>
      <c r="J36" s="64" t="s">
        <v>182</v>
      </c>
      <c r="K36" s="65" t="s">
        <v>179</v>
      </c>
      <c r="L36" s="64" t="s">
        <v>189</v>
      </c>
      <c r="M36" s="65" t="s">
        <v>171</v>
      </c>
      <c r="N36" s="64" t="s">
        <v>170</v>
      </c>
      <c r="O36" s="48"/>
      <c r="P36" s="48"/>
      <c r="Q36" s="48" t="str">
        <f t="shared" si="0"/>
        <v>Credible</v>
      </c>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row>
    <row r="37" spans="1:115" ht="15" x14ac:dyDescent="0.25">
      <c r="A37" s="48"/>
      <c r="B37" s="61" t="s">
        <v>202</v>
      </c>
      <c r="C37" s="62" t="s">
        <v>203</v>
      </c>
      <c r="D37" s="64" t="s">
        <v>201</v>
      </c>
      <c r="E37" s="62">
        <v>2050</v>
      </c>
      <c r="F37" s="64" t="s">
        <v>195</v>
      </c>
      <c r="G37" s="64" t="s">
        <v>165</v>
      </c>
      <c r="H37" s="63" t="s">
        <v>166</v>
      </c>
      <c r="I37" s="65" t="s">
        <v>178</v>
      </c>
      <c r="J37" s="63" t="s">
        <v>168</v>
      </c>
      <c r="K37" s="65" t="s">
        <v>179</v>
      </c>
      <c r="L37" s="64" t="s">
        <v>189</v>
      </c>
      <c r="M37" s="65" t="s">
        <v>171</v>
      </c>
      <c r="N37" s="63" t="s">
        <v>173</v>
      </c>
      <c r="O37" s="48"/>
      <c r="P37" s="48"/>
      <c r="Q37" s="48" t="str">
        <f t="shared" si="0"/>
        <v>Credible</v>
      </c>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c r="DK37" s="48"/>
    </row>
    <row r="38" spans="1:115" ht="15" x14ac:dyDescent="0.25">
      <c r="A38" s="48"/>
      <c r="B38" s="61" t="s">
        <v>204</v>
      </c>
      <c r="C38" s="62" t="s">
        <v>76</v>
      </c>
      <c r="D38" s="64" t="s">
        <v>201</v>
      </c>
      <c r="E38" s="62">
        <v>2053</v>
      </c>
      <c r="F38" s="64" t="s">
        <v>195</v>
      </c>
      <c r="G38" s="64" t="s">
        <v>165</v>
      </c>
      <c r="H38" s="64" t="s">
        <v>185</v>
      </c>
      <c r="I38" s="65" t="s">
        <v>178</v>
      </c>
      <c r="J38" s="64" t="s">
        <v>182</v>
      </c>
      <c r="K38" s="64" t="s">
        <v>199</v>
      </c>
      <c r="L38" s="64" t="s">
        <v>189</v>
      </c>
      <c r="M38" s="65" t="s">
        <v>171</v>
      </c>
      <c r="N38" s="64" t="s">
        <v>170</v>
      </c>
      <c r="O38" s="48"/>
      <c r="P38" s="48"/>
      <c r="Q38" s="48" t="str">
        <f t="shared" si="0"/>
        <v>Credible</v>
      </c>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c r="DK38" s="48"/>
    </row>
    <row r="39" spans="1:115" ht="15" x14ac:dyDescent="0.25">
      <c r="A39" s="48"/>
      <c r="B39" s="61" t="s">
        <v>45</v>
      </c>
      <c r="C39" s="62" t="s">
        <v>46</v>
      </c>
      <c r="D39" s="66" t="s">
        <v>205</v>
      </c>
      <c r="E39" s="62">
        <v>2050</v>
      </c>
      <c r="F39" s="66" t="s">
        <v>180</v>
      </c>
      <c r="G39" s="66" t="s">
        <v>180</v>
      </c>
      <c r="H39" s="66" t="s">
        <v>180</v>
      </c>
      <c r="I39" s="65" t="s">
        <v>178</v>
      </c>
      <c r="J39" s="66" t="s">
        <v>180</v>
      </c>
      <c r="K39" s="66" t="s">
        <v>180</v>
      </c>
      <c r="L39" s="66" t="s">
        <v>180</v>
      </c>
      <c r="M39" s="66" t="s">
        <v>180</v>
      </c>
      <c r="N39" s="66" t="s">
        <v>180</v>
      </c>
      <c r="O39" s="48"/>
      <c r="P39" s="48"/>
      <c r="Q39" s="48" t="str">
        <f t="shared" si="0"/>
        <v>None</v>
      </c>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row>
    <row r="40" spans="1:115" ht="15" x14ac:dyDescent="0.25">
      <c r="A40" s="48"/>
      <c r="B40" s="61" t="s">
        <v>111</v>
      </c>
      <c r="C40" s="62" t="s">
        <v>112</v>
      </c>
      <c r="D40" s="66" t="s">
        <v>205</v>
      </c>
      <c r="E40" s="62" t="s">
        <v>206</v>
      </c>
      <c r="F40" s="66" t="s">
        <v>180</v>
      </c>
      <c r="G40" s="66" t="s">
        <v>180</v>
      </c>
      <c r="H40" s="66" t="s">
        <v>180</v>
      </c>
      <c r="I40" s="65" t="s">
        <v>178</v>
      </c>
      <c r="J40" s="66" t="s">
        <v>180</v>
      </c>
      <c r="K40" s="66" t="s">
        <v>180</v>
      </c>
      <c r="L40" s="66" t="s">
        <v>180</v>
      </c>
      <c r="M40" s="66" t="s">
        <v>180</v>
      </c>
      <c r="N40" s="66" t="s">
        <v>180</v>
      </c>
      <c r="O40" s="48"/>
      <c r="P40" s="48"/>
      <c r="Q40" s="48" t="str">
        <f t="shared" si="0"/>
        <v>None</v>
      </c>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row>
    <row r="41" spans="1:115" ht="15" x14ac:dyDescent="0.25">
      <c r="A41" s="48"/>
      <c r="B41" s="61" t="s">
        <v>54</v>
      </c>
      <c r="C41" s="62" t="s">
        <v>55</v>
      </c>
      <c r="D41" s="66" t="s">
        <v>205</v>
      </c>
      <c r="E41" s="62">
        <v>2070</v>
      </c>
      <c r="F41" s="66" t="s">
        <v>180</v>
      </c>
      <c r="G41" s="66" t="s">
        <v>180</v>
      </c>
      <c r="H41" s="66" t="s">
        <v>180</v>
      </c>
      <c r="I41" s="67" t="s">
        <v>207</v>
      </c>
      <c r="J41" s="66" t="s">
        <v>180</v>
      </c>
      <c r="K41" s="66" t="s">
        <v>180</v>
      </c>
      <c r="L41" s="66" t="s">
        <v>180</v>
      </c>
      <c r="M41" s="66" t="s">
        <v>180</v>
      </c>
      <c r="N41" s="66" t="s">
        <v>180</v>
      </c>
      <c r="O41" s="48"/>
      <c r="P41" s="48"/>
      <c r="Q41" s="48" t="str">
        <f t="shared" si="0"/>
        <v>None</v>
      </c>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c r="DK41" s="48"/>
    </row>
    <row r="42" spans="1:115" ht="15" x14ac:dyDescent="0.25">
      <c r="A42" s="48"/>
      <c r="B42" s="61" t="s">
        <v>56</v>
      </c>
      <c r="C42" s="62" t="s">
        <v>57</v>
      </c>
      <c r="D42" s="66" t="s">
        <v>205</v>
      </c>
      <c r="E42" s="62">
        <v>2060</v>
      </c>
      <c r="F42" s="66" t="s">
        <v>180</v>
      </c>
      <c r="G42" s="66" t="s">
        <v>180</v>
      </c>
      <c r="H42" s="66" t="s">
        <v>180</v>
      </c>
      <c r="I42" s="65" t="s">
        <v>178</v>
      </c>
      <c r="J42" s="66" t="s">
        <v>180</v>
      </c>
      <c r="K42" s="66" t="s">
        <v>180</v>
      </c>
      <c r="L42" s="66" t="s">
        <v>180</v>
      </c>
      <c r="M42" s="66" t="s">
        <v>180</v>
      </c>
      <c r="N42" s="66" t="s">
        <v>180</v>
      </c>
      <c r="O42" s="48"/>
      <c r="P42" s="48"/>
      <c r="Q42" s="48" t="str">
        <f t="shared" si="0"/>
        <v>None</v>
      </c>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row>
    <row r="43" spans="1:115" ht="15" x14ac:dyDescent="0.25">
      <c r="A43" s="48"/>
      <c r="B43" s="61" t="s">
        <v>208</v>
      </c>
      <c r="C43" s="62" t="s">
        <v>209</v>
      </c>
      <c r="D43" s="66" t="s">
        <v>205</v>
      </c>
      <c r="E43" s="62">
        <v>2050</v>
      </c>
      <c r="F43" s="66" t="s">
        <v>180</v>
      </c>
      <c r="G43" s="66" t="s">
        <v>180</v>
      </c>
      <c r="H43" s="66" t="s">
        <v>180</v>
      </c>
      <c r="I43" s="65" t="s">
        <v>178</v>
      </c>
      <c r="J43" s="66" t="s">
        <v>180</v>
      </c>
      <c r="K43" s="66" t="s">
        <v>180</v>
      </c>
      <c r="L43" s="66" t="s">
        <v>180</v>
      </c>
      <c r="M43" s="66" t="s">
        <v>180</v>
      </c>
      <c r="N43" s="66" t="s">
        <v>180</v>
      </c>
      <c r="O43" s="48"/>
      <c r="P43" s="48"/>
      <c r="Q43" s="48" t="str">
        <f t="shared" si="0"/>
        <v>None</v>
      </c>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row>
    <row r="44" spans="1:115" ht="15" x14ac:dyDescent="0.25">
      <c r="A44" s="48"/>
      <c r="B44" s="61" t="s">
        <v>70</v>
      </c>
      <c r="C44" s="62" t="s">
        <v>71</v>
      </c>
      <c r="D44" s="66" t="s">
        <v>205</v>
      </c>
      <c r="E44" s="62">
        <v>2060</v>
      </c>
      <c r="F44" s="64" t="s">
        <v>195</v>
      </c>
      <c r="G44" s="66" t="s">
        <v>180</v>
      </c>
      <c r="H44" s="66" t="s">
        <v>180</v>
      </c>
      <c r="I44" s="67" t="s">
        <v>207</v>
      </c>
      <c r="J44" s="66" t="s">
        <v>180</v>
      </c>
      <c r="K44" s="66" t="s">
        <v>180</v>
      </c>
      <c r="L44" s="66" t="s">
        <v>180</v>
      </c>
      <c r="M44" s="64" t="s">
        <v>174</v>
      </c>
      <c r="N44" s="66" t="s">
        <v>180</v>
      </c>
      <c r="O44" s="48"/>
      <c r="P44" s="48"/>
      <c r="Q44" s="48" t="str">
        <f t="shared" si="0"/>
        <v>Weaker</v>
      </c>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c r="CR44" s="48"/>
      <c r="CS44" s="48"/>
      <c r="CT44" s="48"/>
      <c r="CU44" s="48"/>
      <c r="CV44" s="48"/>
      <c r="CW44" s="48"/>
      <c r="CX44" s="48"/>
      <c r="CY44" s="48"/>
      <c r="CZ44" s="48"/>
      <c r="DA44" s="48"/>
      <c r="DB44" s="48"/>
      <c r="DC44" s="48"/>
      <c r="DD44" s="48"/>
      <c r="DE44" s="48"/>
      <c r="DF44" s="48"/>
      <c r="DG44" s="48"/>
      <c r="DH44" s="48"/>
      <c r="DI44" s="48"/>
      <c r="DJ44" s="48"/>
      <c r="DK44" s="48"/>
    </row>
    <row r="45" spans="1:115" ht="15" x14ac:dyDescent="0.25">
      <c r="A45" s="48"/>
      <c r="B45" s="61" t="s">
        <v>72</v>
      </c>
      <c r="C45" s="62" t="s">
        <v>73</v>
      </c>
      <c r="D45" s="66" t="s">
        <v>205</v>
      </c>
      <c r="E45" s="62">
        <v>2050</v>
      </c>
      <c r="F45" s="66" t="s">
        <v>180</v>
      </c>
      <c r="G45" s="66" t="s">
        <v>180</v>
      </c>
      <c r="H45" s="66" t="s">
        <v>180</v>
      </c>
      <c r="I45" s="65" t="s">
        <v>178</v>
      </c>
      <c r="J45" s="66" t="s">
        <v>180</v>
      </c>
      <c r="K45" s="66" t="s">
        <v>180</v>
      </c>
      <c r="L45" s="66" t="s">
        <v>180</v>
      </c>
      <c r="M45" s="66" t="s">
        <v>180</v>
      </c>
      <c r="N45" s="66" t="s">
        <v>180</v>
      </c>
      <c r="O45" s="48"/>
      <c r="P45" s="48"/>
      <c r="Q45" s="48" t="str">
        <f t="shared" si="0"/>
        <v>None</v>
      </c>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row>
    <row r="46" spans="1:115" ht="15" x14ac:dyDescent="0.25">
      <c r="A46" s="48"/>
      <c r="B46" s="61" t="s">
        <v>104</v>
      </c>
      <c r="C46" s="62" t="s">
        <v>105</v>
      </c>
      <c r="D46" s="66" t="s">
        <v>205</v>
      </c>
      <c r="E46" s="62">
        <v>2050</v>
      </c>
      <c r="F46" s="64" t="s">
        <v>195</v>
      </c>
      <c r="G46" s="66" t="s">
        <v>180</v>
      </c>
      <c r="H46" s="66" t="s">
        <v>180</v>
      </c>
      <c r="I46" s="67" t="s">
        <v>207</v>
      </c>
      <c r="J46" s="66" t="s">
        <v>180</v>
      </c>
      <c r="K46" s="66" t="s">
        <v>180</v>
      </c>
      <c r="L46" s="66" t="s">
        <v>180</v>
      </c>
      <c r="M46" s="66" t="s">
        <v>180</v>
      </c>
      <c r="N46" s="66" t="s">
        <v>180</v>
      </c>
      <c r="O46" s="48"/>
      <c r="P46" s="48"/>
      <c r="Q46" s="48" t="str">
        <f t="shared" si="0"/>
        <v>None</v>
      </c>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c r="CR46" s="48"/>
      <c r="CS46" s="48"/>
      <c r="CT46" s="48"/>
      <c r="CU46" s="48"/>
      <c r="CV46" s="48"/>
      <c r="CW46" s="48"/>
      <c r="CX46" s="48"/>
      <c r="CY46" s="48"/>
      <c r="CZ46" s="48"/>
      <c r="DA46" s="48"/>
      <c r="DB46" s="48"/>
      <c r="DC46" s="48"/>
      <c r="DD46" s="48"/>
      <c r="DE46" s="48"/>
      <c r="DF46" s="48"/>
      <c r="DG46" s="48"/>
      <c r="DH46" s="48"/>
      <c r="DI46" s="48"/>
      <c r="DJ46" s="48"/>
      <c r="DK46" s="48"/>
    </row>
    <row r="47" spans="1:115" ht="15" x14ac:dyDescent="0.25">
      <c r="A47" s="48"/>
      <c r="B47" s="61" t="s">
        <v>108</v>
      </c>
      <c r="C47" s="62" t="s">
        <v>109</v>
      </c>
      <c r="D47" s="68" t="s">
        <v>210</v>
      </c>
      <c r="E47" s="62"/>
      <c r="F47" s="62"/>
      <c r="G47" s="62"/>
      <c r="H47" s="62"/>
      <c r="I47" s="69"/>
      <c r="J47" s="62"/>
      <c r="K47" s="62"/>
      <c r="L47" s="62"/>
      <c r="M47" s="62"/>
      <c r="N47" s="62"/>
      <c r="O47" s="48"/>
      <c r="P47" s="48"/>
      <c r="Q47" s="48" t="s">
        <v>83</v>
      </c>
      <c r="R47" s="48" t="s">
        <v>211</v>
      </c>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c r="CR47" s="48"/>
      <c r="CS47" s="48"/>
      <c r="CT47" s="48"/>
      <c r="CU47" s="48"/>
      <c r="CV47" s="48"/>
      <c r="CW47" s="48"/>
      <c r="CX47" s="48"/>
      <c r="CY47" s="48"/>
      <c r="CZ47" s="48"/>
      <c r="DA47" s="48"/>
      <c r="DB47" s="48"/>
      <c r="DC47" s="48"/>
      <c r="DD47" s="48"/>
      <c r="DE47" s="48"/>
      <c r="DF47" s="48"/>
      <c r="DG47" s="48"/>
      <c r="DH47" s="48"/>
      <c r="DI47" s="48"/>
      <c r="DJ47" s="48"/>
      <c r="DK47" s="48"/>
    </row>
    <row r="48" spans="1:115" ht="15" x14ac:dyDescent="0.25">
      <c r="A48" s="48"/>
      <c r="B48" s="61" t="s">
        <v>113</v>
      </c>
      <c r="C48" s="62" t="s">
        <v>114</v>
      </c>
      <c r="D48" s="68" t="s">
        <v>210</v>
      </c>
      <c r="E48" s="62"/>
      <c r="F48" s="62"/>
      <c r="G48" s="62"/>
      <c r="H48" s="62"/>
      <c r="I48" s="69"/>
      <c r="J48" s="62"/>
      <c r="K48" s="62"/>
      <c r="L48" s="62"/>
      <c r="M48" s="62"/>
      <c r="N48" s="62"/>
      <c r="O48" s="48"/>
      <c r="P48" s="48"/>
      <c r="Q48" s="48" t="s">
        <v>83</v>
      </c>
      <c r="R48" s="48" t="s">
        <v>211</v>
      </c>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c r="CR48" s="48"/>
      <c r="CS48" s="48"/>
      <c r="CT48" s="48"/>
      <c r="CU48" s="48"/>
      <c r="CV48" s="48"/>
      <c r="CW48" s="48"/>
      <c r="CX48" s="48"/>
      <c r="CY48" s="48"/>
      <c r="CZ48" s="48"/>
      <c r="DA48" s="48"/>
      <c r="DB48" s="48"/>
      <c r="DC48" s="48"/>
      <c r="DD48" s="48"/>
      <c r="DE48" s="48"/>
      <c r="DF48" s="48"/>
      <c r="DG48" s="48"/>
      <c r="DH48" s="48"/>
      <c r="DI48" s="48"/>
      <c r="DJ48" s="48"/>
      <c r="DK48" s="48"/>
    </row>
    <row r="49" spans="1:115" ht="15" x14ac:dyDescent="0.25">
      <c r="A49" s="48"/>
      <c r="B49" s="61" t="s">
        <v>212</v>
      </c>
      <c r="C49" s="62" t="s">
        <v>213</v>
      </c>
      <c r="D49" s="68" t="s">
        <v>210</v>
      </c>
      <c r="E49" s="62"/>
      <c r="F49" s="62"/>
      <c r="G49" s="62"/>
      <c r="H49" s="62"/>
      <c r="I49" s="69"/>
      <c r="J49" s="62"/>
      <c r="K49" s="62"/>
      <c r="L49" s="62"/>
      <c r="M49" s="62"/>
      <c r="N49" s="62"/>
      <c r="O49" s="48"/>
      <c r="P49" s="48"/>
      <c r="Q49" s="48" t="s">
        <v>83</v>
      </c>
      <c r="R49" s="48" t="s">
        <v>211</v>
      </c>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c r="CR49" s="48"/>
      <c r="CS49" s="48"/>
      <c r="CT49" s="48"/>
      <c r="CU49" s="48"/>
      <c r="CV49" s="48"/>
      <c r="CW49" s="48"/>
      <c r="CX49" s="48"/>
      <c r="CY49" s="48"/>
      <c r="CZ49" s="48"/>
      <c r="DA49" s="48"/>
      <c r="DB49" s="48"/>
      <c r="DC49" s="48"/>
      <c r="DD49" s="48"/>
      <c r="DE49" s="48"/>
      <c r="DF49" s="48"/>
      <c r="DG49" s="48"/>
      <c r="DH49" s="48"/>
      <c r="DI49" s="48"/>
      <c r="DJ49" s="48"/>
      <c r="DK49" s="48"/>
    </row>
    <row r="50" spans="1:115" ht="15" x14ac:dyDescent="0.25">
      <c r="A50" s="48"/>
      <c r="B50" s="61" t="s">
        <v>61</v>
      </c>
      <c r="C50" s="62" t="s">
        <v>62</v>
      </c>
      <c r="D50" s="68" t="s">
        <v>210</v>
      </c>
      <c r="E50" s="62"/>
      <c r="F50" s="62"/>
      <c r="G50" s="62"/>
      <c r="H50" s="62"/>
      <c r="I50" s="69"/>
      <c r="J50" s="62"/>
      <c r="K50" s="62"/>
      <c r="L50" s="62"/>
      <c r="M50" s="62"/>
      <c r="N50" s="62"/>
      <c r="O50" s="48"/>
      <c r="P50" s="48"/>
      <c r="Q50" s="48" t="s">
        <v>83</v>
      </c>
      <c r="R50" s="48" t="s">
        <v>211</v>
      </c>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c r="CR50" s="48"/>
      <c r="CS50" s="48"/>
      <c r="CT50" s="48"/>
      <c r="CU50" s="48"/>
      <c r="CV50" s="48"/>
      <c r="CW50" s="48"/>
      <c r="CX50" s="48"/>
      <c r="CY50" s="48"/>
      <c r="CZ50" s="48"/>
      <c r="DA50" s="48"/>
      <c r="DB50" s="48"/>
      <c r="DC50" s="48"/>
      <c r="DD50" s="48"/>
      <c r="DE50" s="48"/>
      <c r="DF50" s="48"/>
      <c r="DG50" s="48"/>
      <c r="DH50" s="48"/>
      <c r="DI50" s="48"/>
      <c r="DJ50" s="48"/>
      <c r="DK50" s="48"/>
    </row>
    <row r="51" spans="1:115" ht="15" x14ac:dyDescent="0.25">
      <c r="A51" s="48"/>
      <c r="B51" s="61" t="s">
        <v>115</v>
      </c>
      <c r="C51" s="62" t="s">
        <v>116</v>
      </c>
      <c r="D51" s="68" t="s">
        <v>210</v>
      </c>
      <c r="E51" s="62"/>
      <c r="F51" s="62"/>
      <c r="G51" s="62"/>
      <c r="H51" s="62"/>
      <c r="I51" s="69"/>
      <c r="J51" s="62"/>
      <c r="K51" s="62"/>
      <c r="L51" s="62"/>
      <c r="M51" s="62"/>
      <c r="N51" s="62"/>
      <c r="O51" s="48"/>
      <c r="P51" s="48"/>
      <c r="Q51" s="48" t="s">
        <v>83</v>
      </c>
      <c r="R51" s="48" t="s">
        <v>211</v>
      </c>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c r="CR51" s="48"/>
      <c r="CS51" s="48"/>
      <c r="CT51" s="48"/>
      <c r="CU51" s="48"/>
      <c r="CV51" s="48"/>
      <c r="CW51" s="48"/>
      <c r="CX51" s="48"/>
      <c r="CY51" s="48"/>
      <c r="CZ51" s="48"/>
      <c r="DA51" s="48"/>
      <c r="DB51" s="48"/>
      <c r="DC51" s="48"/>
      <c r="DD51" s="48"/>
      <c r="DE51" s="48"/>
      <c r="DF51" s="48"/>
      <c r="DG51" s="48"/>
      <c r="DH51" s="48"/>
      <c r="DI51" s="48"/>
      <c r="DJ51" s="48"/>
      <c r="DK51" s="48"/>
    </row>
    <row r="52" spans="1:115" ht="15" x14ac:dyDescent="0.25">
      <c r="A52" s="48"/>
      <c r="B52" s="61" t="s">
        <v>214</v>
      </c>
      <c r="C52" s="62" t="s">
        <v>215</v>
      </c>
      <c r="D52" s="68" t="s">
        <v>210</v>
      </c>
      <c r="E52" s="62"/>
      <c r="F52" s="70"/>
      <c r="G52" s="70"/>
      <c r="H52" s="70"/>
      <c r="I52" s="70"/>
      <c r="J52" s="70"/>
      <c r="K52" s="70"/>
      <c r="L52" s="70"/>
      <c r="M52" s="70"/>
      <c r="N52" s="70"/>
      <c r="O52" s="48"/>
      <c r="P52" s="48"/>
      <c r="Q52" s="48" t="s">
        <v>83</v>
      </c>
      <c r="R52" s="48" t="s">
        <v>211</v>
      </c>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c r="CR52" s="48"/>
      <c r="CS52" s="48"/>
      <c r="CT52" s="48"/>
      <c r="CU52" s="48"/>
      <c r="CV52" s="48"/>
      <c r="CW52" s="48"/>
      <c r="CX52" s="48"/>
      <c r="CY52" s="48"/>
      <c r="CZ52" s="48"/>
      <c r="DA52" s="48"/>
      <c r="DB52" s="48"/>
      <c r="DC52" s="48"/>
      <c r="DD52" s="48"/>
      <c r="DE52" s="48"/>
      <c r="DF52" s="48"/>
      <c r="DG52" s="48"/>
      <c r="DH52" s="48"/>
      <c r="DI52" s="48"/>
      <c r="DJ52" s="48"/>
      <c r="DK52" s="48"/>
    </row>
    <row r="53" spans="1:115" ht="15" x14ac:dyDescent="0.25">
      <c r="A53" s="48"/>
      <c r="B53" s="61" t="s">
        <v>216</v>
      </c>
      <c r="C53" s="62" t="s">
        <v>217</v>
      </c>
      <c r="D53" s="68" t="s">
        <v>210</v>
      </c>
      <c r="E53" s="62"/>
      <c r="F53" s="62"/>
      <c r="G53" s="62"/>
      <c r="H53" s="62"/>
      <c r="I53" s="69"/>
      <c r="J53" s="62"/>
      <c r="K53" s="62"/>
      <c r="L53" s="62"/>
      <c r="M53" s="62"/>
      <c r="N53" s="62"/>
      <c r="O53" s="48"/>
      <c r="P53" s="48"/>
      <c r="Q53" s="48" t="s">
        <v>83</v>
      </c>
      <c r="R53" s="48" t="s">
        <v>211</v>
      </c>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c r="CR53" s="48"/>
      <c r="CS53" s="48"/>
      <c r="CT53" s="48"/>
      <c r="CU53" s="48"/>
      <c r="CV53" s="48"/>
      <c r="CW53" s="48"/>
      <c r="CX53" s="48"/>
      <c r="CY53" s="48"/>
      <c r="CZ53" s="48"/>
      <c r="DA53" s="48"/>
      <c r="DB53" s="48"/>
      <c r="DC53" s="48"/>
      <c r="DD53" s="48"/>
      <c r="DE53" s="48"/>
      <c r="DF53" s="48"/>
      <c r="DG53" s="48"/>
      <c r="DH53" s="48"/>
      <c r="DI53" s="48"/>
      <c r="DJ53" s="48"/>
      <c r="DK53" s="48"/>
    </row>
    <row r="54" spans="1:115" ht="15" x14ac:dyDescent="0.25">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c r="DK54" s="48"/>
    </row>
    <row r="55" spans="1:115" ht="15" x14ac:dyDescent="0.2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c r="DD55" s="48"/>
      <c r="DE55" s="48"/>
      <c r="DF55" s="48"/>
      <c r="DG55" s="48"/>
      <c r="DH55" s="48"/>
      <c r="DI55" s="48"/>
      <c r="DJ55" s="48"/>
      <c r="DK55" s="48"/>
    </row>
    <row r="56" spans="1:115" ht="15" x14ac:dyDescent="0.25">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c r="CR56" s="48"/>
      <c r="CS56" s="48"/>
      <c r="CT56" s="48"/>
      <c r="CU56" s="48"/>
      <c r="CV56" s="48"/>
      <c r="CW56" s="48"/>
      <c r="CX56" s="48"/>
      <c r="CY56" s="48"/>
      <c r="CZ56" s="48"/>
      <c r="DA56" s="48"/>
      <c r="DB56" s="48"/>
      <c r="DC56" s="48"/>
      <c r="DD56" s="48"/>
      <c r="DE56" s="48"/>
      <c r="DF56" s="48"/>
      <c r="DG56" s="48"/>
      <c r="DH56" s="48"/>
      <c r="DI56" s="48"/>
      <c r="DJ56" s="48"/>
      <c r="DK56" s="48"/>
    </row>
    <row r="57" spans="1:115" ht="15" x14ac:dyDescent="0.25">
      <c r="A57" s="48"/>
      <c r="B57" s="45" t="s">
        <v>218</v>
      </c>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48"/>
      <c r="DE57" s="48"/>
      <c r="DF57" s="48"/>
      <c r="DG57" s="48"/>
      <c r="DH57" s="48"/>
      <c r="DI57" s="48"/>
      <c r="DJ57" s="48"/>
      <c r="DK57" s="48"/>
    </row>
    <row r="58" spans="1:115" ht="15" x14ac:dyDescent="0.25">
      <c r="A58" s="48"/>
      <c r="B58" s="71" t="s">
        <v>219</v>
      </c>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c r="CR58" s="48"/>
      <c r="CS58" s="48"/>
      <c r="CT58" s="48"/>
      <c r="CU58" s="48"/>
      <c r="CV58" s="48"/>
      <c r="CW58" s="48"/>
      <c r="CX58" s="48"/>
      <c r="CY58" s="48"/>
      <c r="CZ58" s="48"/>
      <c r="DA58" s="48"/>
      <c r="DB58" s="48"/>
      <c r="DC58" s="48"/>
      <c r="DD58" s="48"/>
      <c r="DE58" s="48"/>
      <c r="DF58" s="48"/>
      <c r="DG58" s="48"/>
      <c r="DH58" s="48"/>
      <c r="DI58" s="48"/>
      <c r="DJ58" s="48"/>
      <c r="DK58" s="48"/>
    </row>
    <row r="59" spans="1:115" ht="15" x14ac:dyDescent="0.25">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c r="DK59" s="48"/>
    </row>
    <row r="60" spans="1:115" ht="15" x14ac:dyDescent="0.25">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c r="DK60" s="48"/>
    </row>
    <row r="61" spans="1:115" ht="15" x14ac:dyDescent="0.25">
      <c r="A61" s="45"/>
      <c r="B61" s="45"/>
      <c r="C61" s="48"/>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c r="CJ61" s="45"/>
      <c r="CK61" s="45"/>
      <c r="CL61" s="45"/>
      <c r="CM61" s="45"/>
      <c r="CN61" s="45"/>
      <c r="CO61" s="45"/>
      <c r="CP61" s="45"/>
      <c r="CQ61" s="45"/>
      <c r="CR61" s="45"/>
      <c r="CS61" s="45"/>
      <c r="CT61" s="45"/>
      <c r="CU61" s="45"/>
      <c r="CV61" s="45"/>
      <c r="CW61" s="45"/>
      <c r="CX61" s="45"/>
      <c r="CY61" s="45"/>
      <c r="CZ61" s="45"/>
      <c r="DA61" s="45"/>
      <c r="DB61" s="45"/>
      <c r="DC61" s="45"/>
      <c r="DD61" s="45"/>
      <c r="DE61" s="45"/>
      <c r="DF61" s="45"/>
      <c r="DG61" s="45"/>
      <c r="DH61" s="45"/>
      <c r="DI61" s="45"/>
      <c r="DJ61" s="45"/>
      <c r="DK61" s="45"/>
    </row>
    <row r="62" spans="1:115" ht="15" x14ac:dyDescent="0.25">
      <c r="A62" s="45"/>
      <c r="B62" s="45"/>
      <c r="C62" s="48"/>
      <c r="D62" s="45"/>
      <c r="E62" s="45"/>
      <c r="F62" s="45"/>
      <c r="G62" s="48"/>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5"/>
      <c r="CV62" s="45"/>
      <c r="CW62" s="45"/>
      <c r="CX62" s="45"/>
      <c r="CY62" s="45"/>
      <c r="CZ62" s="45"/>
      <c r="DA62" s="45"/>
      <c r="DB62" s="45"/>
      <c r="DC62" s="45"/>
      <c r="DD62" s="45"/>
      <c r="DE62" s="45"/>
      <c r="DF62" s="45"/>
      <c r="DG62" s="45"/>
      <c r="DH62" s="45"/>
      <c r="DI62" s="45"/>
      <c r="DJ62" s="45"/>
      <c r="DK62" s="45"/>
    </row>
    <row r="63" spans="1:115" ht="15" x14ac:dyDescent="0.25">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c r="DC63" s="45"/>
      <c r="DD63" s="45"/>
      <c r="DE63" s="45"/>
      <c r="DF63" s="45"/>
      <c r="DG63" s="45"/>
      <c r="DH63" s="45"/>
      <c r="DI63" s="45"/>
      <c r="DJ63" s="45"/>
      <c r="DK63" s="45"/>
    </row>
    <row r="64" spans="1:115" ht="15" x14ac:dyDescent="0.25">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c r="DF64" s="45"/>
      <c r="DG64" s="45"/>
      <c r="DH64" s="45"/>
      <c r="DI64" s="45"/>
      <c r="DJ64" s="45"/>
      <c r="DK64" s="45"/>
    </row>
    <row r="65" spans="1:115" ht="15" x14ac:dyDescent="0.2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71"/>
      <c r="BP65" s="71"/>
      <c r="BQ65" s="71"/>
      <c r="BR65" s="71"/>
      <c r="BS65" s="71"/>
      <c r="BT65" s="71"/>
      <c r="BU65" s="71"/>
      <c r="BV65" s="71"/>
      <c r="BW65" s="71"/>
      <c r="BX65" s="71"/>
      <c r="BY65" s="71"/>
      <c r="BZ65" s="71"/>
      <c r="CA65" s="71"/>
      <c r="CB65" s="71"/>
      <c r="CC65" s="71"/>
      <c r="CD65" s="71"/>
      <c r="CE65" s="71"/>
      <c r="CF65" s="71"/>
      <c r="CG65" s="71"/>
      <c r="CH65" s="71"/>
      <c r="CI65" s="71"/>
      <c r="CJ65" s="71"/>
      <c r="CK65" s="71"/>
      <c r="CL65" s="71"/>
      <c r="CM65" s="71"/>
      <c r="CN65" s="71"/>
      <c r="CO65" s="71"/>
      <c r="CP65" s="71"/>
      <c r="CQ65" s="71"/>
      <c r="CR65" s="71"/>
      <c r="CS65" s="71"/>
      <c r="CT65" s="71"/>
      <c r="CU65" s="71"/>
      <c r="CV65" s="71"/>
      <c r="CW65" s="71"/>
      <c r="CX65" s="71"/>
      <c r="CY65" s="71"/>
      <c r="CZ65" s="71"/>
      <c r="DA65" s="71"/>
      <c r="DB65" s="71"/>
      <c r="DC65" s="71"/>
      <c r="DD65" s="71"/>
      <c r="DE65" s="71"/>
      <c r="DF65" s="71"/>
      <c r="DG65" s="71"/>
      <c r="DH65" s="71"/>
      <c r="DI65" s="71"/>
      <c r="DJ65" s="71"/>
      <c r="DK65" s="71"/>
    </row>
  </sheetData>
  <mergeCells count="1">
    <mergeCell ref="B10:B11"/>
  </mergeCells>
  <hyperlinks>
    <hyperlink ref="D1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C874-D55E-49B9-8956-E737504E764A}">
  <dimension ref="A1:P1008"/>
  <sheetViews>
    <sheetView tabSelected="1" workbookViewId="0">
      <selection activeCell="F19" sqref="F19"/>
    </sheetView>
  </sheetViews>
  <sheetFormatPr defaultRowHeight="12.75" x14ac:dyDescent="0.2"/>
  <cols>
    <col min="2" max="2" width="20.7109375" customWidth="1"/>
    <col min="3" max="3" width="20.7109375" style="84" customWidth="1"/>
    <col min="4" max="5" width="20.7109375" style="92" customWidth="1"/>
    <col min="6" max="7" width="20.7109375" style="84" customWidth="1"/>
    <col min="8" max="8" width="12.7109375"/>
    <col min="9" max="9" width="24.5703125" customWidth="1"/>
    <col min="10" max="10" width="15.28515625" customWidth="1"/>
    <col min="11" max="11" width="16.140625" customWidth="1"/>
    <col min="12" max="12" width="18.85546875" customWidth="1"/>
  </cols>
  <sheetData>
    <row r="1" spans="1:16" x14ac:dyDescent="0.2">
      <c r="B1" s="1"/>
      <c r="F1" s="101" t="s">
        <v>241</v>
      </c>
      <c r="G1" s="1"/>
      <c r="H1" s="1"/>
      <c r="I1" s="2"/>
      <c r="K1" s="2"/>
      <c r="P1" s="88" t="s">
        <v>240</v>
      </c>
    </row>
    <row r="2" spans="1:16" x14ac:dyDescent="0.2">
      <c r="H2" s="85" t="s">
        <v>8</v>
      </c>
      <c r="I2" s="2"/>
      <c r="J2" s="90" t="s">
        <v>10</v>
      </c>
      <c r="K2" s="2"/>
      <c r="L2" s="100" t="s">
        <v>224</v>
      </c>
      <c r="M2" s="100"/>
      <c r="N2" s="100"/>
      <c r="O2" t="str">
        <f>EGR2023_MASTER!Q2</f>
        <v>Current policy projection on downward path (2030 emissions, incl. LULUCF, at least 10% below 2020)</v>
      </c>
      <c r="P2" s="72" t="s">
        <v>220</v>
      </c>
    </row>
    <row r="3" spans="1:16" ht="15" x14ac:dyDescent="0.25">
      <c r="B3" s="75" t="s">
        <v>5</v>
      </c>
      <c r="C3" s="89" t="s">
        <v>15</v>
      </c>
      <c r="D3" s="93" t="s">
        <v>16</v>
      </c>
      <c r="E3" s="93" t="s">
        <v>17</v>
      </c>
      <c r="F3" s="85">
        <v>2020</v>
      </c>
      <c r="G3" s="85" t="s">
        <v>16</v>
      </c>
      <c r="H3" s="85" t="s">
        <v>17</v>
      </c>
      <c r="I3" s="75" t="s">
        <v>16</v>
      </c>
      <c r="J3" s="90" t="s">
        <v>18</v>
      </c>
      <c r="K3" s="75" t="s">
        <v>20</v>
      </c>
      <c r="L3" s="75" t="s">
        <v>2</v>
      </c>
      <c r="M3" s="75" t="s">
        <v>222</v>
      </c>
      <c r="N3" s="79" t="s">
        <v>223</v>
      </c>
      <c r="O3" s="87" t="str">
        <f>EGR2023_MASTER!Q3</f>
        <v>10% below 2020</v>
      </c>
      <c r="P3" s="87">
        <v>0.1</v>
      </c>
    </row>
    <row r="4" spans="1:16" ht="15" x14ac:dyDescent="0.25">
      <c r="A4" t="b">
        <f>EXACT(EGR2023_MASTER!A4,'September 2023 Update (WRI)'!B4)</f>
        <v>1</v>
      </c>
      <c r="B4" s="71" t="s">
        <v>31</v>
      </c>
      <c r="C4" s="89" t="s">
        <v>33</v>
      </c>
      <c r="D4" s="10">
        <v>2016</v>
      </c>
      <c r="E4" s="10">
        <v>378</v>
      </c>
      <c r="F4" s="102">
        <v>367.67525088000002</v>
      </c>
      <c r="G4" s="12">
        <v>2030</v>
      </c>
      <c r="H4" s="11">
        <v>375</v>
      </c>
      <c r="I4" s="76">
        <v>2050</v>
      </c>
      <c r="J4" s="13">
        <v>398.91</v>
      </c>
      <c r="K4" s="81" t="s">
        <v>41</v>
      </c>
      <c r="L4" s="71" t="s">
        <v>225</v>
      </c>
      <c r="M4" s="71" t="s">
        <v>229</v>
      </c>
      <c r="N4" s="80" t="s">
        <v>175</v>
      </c>
      <c r="O4" s="86" t="str">
        <f>EGR2023_MASTER!Q4</f>
        <v>n</v>
      </c>
      <c r="P4" t="str">
        <f t="shared" ref="P4:P44" si="0">IF(AND($N4="credible",O4="Y"),"stronger","weak")</f>
        <v>weak</v>
      </c>
    </row>
    <row r="5" spans="1:16" ht="15" x14ac:dyDescent="0.25">
      <c r="A5" t="b">
        <f>EXACT(EGR2023_MASTER!A5,'September 2023 Update (WRI)'!B5)</f>
        <v>1</v>
      </c>
      <c r="B5" s="71" t="s">
        <v>39</v>
      </c>
      <c r="C5" s="89" t="s">
        <v>33</v>
      </c>
      <c r="D5" s="10">
        <v>2020</v>
      </c>
      <c r="E5" s="10">
        <v>503</v>
      </c>
      <c r="F5" s="102">
        <v>568.40599298999996</v>
      </c>
      <c r="G5" s="12">
        <v>2030</v>
      </c>
      <c r="H5" s="11">
        <v>347</v>
      </c>
      <c r="I5" s="76">
        <v>2050</v>
      </c>
      <c r="J5" s="13">
        <v>608.49</v>
      </c>
      <c r="K5" s="71" t="s">
        <v>41</v>
      </c>
      <c r="L5" s="71" t="s">
        <v>225</v>
      </c>
      <c r="M5" s="71" t="s">
        <v>238</v>
      </c>
      <c r="N5" s="80" t="s">
        <v>125</v>
      </c>
      <c r="O5" s="86" t="str">
        <f>EGR2023_MASTER!Q5</f>
        <v>n</v>
      </c>
      <c r="P5" t="str">
        <f t="shared" si="0"/>
        <v>weak</v>
      </c>
    </row>
    <row r="6" spans="1:16" s="94" customFormat="1" ht="15" x14ac:dyDescent="0.25">
      <c r="A6" s="94" t="b">
        <f>EXACT(EGR2023_MASTER!A6,'September 2023 Update (WRI)'!B6)</f>
        <v>1</v>
      </c>
      <c r="B6" s="111" t="s">
        <v>244</v>
      </c>
      <c r="C6" s="95" t="s">
        <v>33</v>
      </c>
      <c r="D6" s="10"/>
      <c r="E6" s="10"/>
      <c r="F6" s="102">
        <v>66.3048792830633</v>
      </c>
      <c r="G6" s="12"/>
      <c r="H6" s="11"/>
      <c r="I6" s="110">
        <v>2060</v>
      </c>
      <c r="J6" s="13"/>
      <c r="K6" s="111" t="s">
        <v>41</v>
      </c>
      <c r="L6" s="71"/>
      <c r="M6" s="71"/>
      <c r="N6" s="80"/>
      <c r="O6" s="86"/>
      <c r="P6" s="109" t="s">
        <v>242</v>
      </c>
    </row>
    <row r="7" spans="1:16" ht="15" x14ac:dyDescent="0.25">
      <c r="A7" t="b">
        <f>EXACT(EGR2023_MASTER!A7,'September 2023 Update (WRI)'!B7)</f>
        <v>1</v>
      </c>
      <c r="B7" s="71" t="s">
        <v>45</v>
      </c>
      <c r="C7" s="89" t="s">
        <v>33</v>
      </c>
      <c r="D7" s="10">
        <v>2018</v>
      </c>
      <c r="E7" s="10">
        <v>1366</v>
      </c>
      <c r="F7" s="102">
        <v>2228.2033830266701</v>
      </c>
      <c r="G7" s="12">
        <v>2030</v>
      </c>
      <c r="H7" s="11">
        <v>1268</v>
      </c>
      <c r="I7" s="76">
        <v>2050</v>
      </c>
      <c r="J7" s="13">
        <v>1451.63</v>
      </c>
      <c r="K7" s="71" t="s">
        <v>34</v>
      </c>
      <c r="L7" s="71" t="s">
        <v>229</v>
      </c>
      <c r="M7" s="71" t="s">
        <v>229</v>
      </c>
      <c r="N7" s="80" t="s">
        <v>83</v>
      </c>
      <c r="O7" s="86" t="str">
        <f>EGR2023_MASTER!Q7</f>
        <v>n</v>
      </c>
      <c r="P7" t="str">
        <f t="shared" si="0"/>
        <v>weak</v>
      </c>
    </row>
    <row r="8" spans="1:16" ht="15" x14ac:dyDescent="0.25">
      <c r="A8" t="b">
        <f>EXACT(EGR2023_MASTER!A8,'September 2023 Update (WRI)'!B8)</f>
        <v>1</v>
      </c>
      <c r="B8" s="71" t="s">
        <v>47</v>
      </c>
      <c r="C8" s="89" t="s">
        <v>33</v>
      </c>
      <c r="D8" s="10">
        <v>2020</v>
      </c>
      <c r="E8" s="10">
        <v>638</v>
      </c>
      <c r="F8" s="102">
        <v>757.16091448333304</v>
      </c>
      <c r="G8" s="12">
        <v>2030</v>
      </c>
      <c r="H8" s="11">
        <v>427</v>
      </c>
      <c r="I8" s="76">
        <v>2050</v>
      </c>
      <c r="J8" s="13">
        <v>774.29</v>
      </c>
      <c r="K8" s="71" t="s">
        <v>41</v>
      </c>
      <c r="L8" s="71" t="s">
        <v>230</v>
      </c>
      <c r="M8" s="71" t="s">
        <v>237</v>
      </c>
      <c r="N8" s="80" t="s">
        <v>175</v>
      </c>
      <c r="O8" s="86" t="str">
        <f>EGR2023_MASTER!Q8</f>
        <v>n</v>
      </c>
      <c r="P8" t="str">
        <f t="shared" si="0"/>
        <v>weak</v>
      </c>
    </row>
    <row r="9" spans="1:16" s="94" customFormat="1" ht="15" x14ac:dyDescent="0.25">
      <c r="A9" s="94" t="b">
        <v>1</v>
      </c>
      <c r="B9" s="111" t="s">
        <v>196</v>
      </c>
      <c r="C9" s="95" t="s">
        <v>33</v>
      </c>
      <c r="D9" s="10"/>
      <c r="E9" s="10"/>
      <c r="F9" s="102">
        <v>41.187815052700003</v>
      </c>
      <c r="G9" s="12"/>
      <c r="H9" s="11"/>
      <c r="I9" s="105">
        <v>2050</v>
      </c>
      <c r="J9" s="13"/>
      <c r="K9" s="111" t="s">
        <v>41</v>
      </c>
      <c r="L9" s="71"/>
      <c r="M9" s="71"/>
      <c r="N9" s="80"/>
      <c r="O9" s="86"/>
      <c r="P9" s="109" t="s">
        <v>245</v>
      </c>
    </row>
    <row r="10" spans="1:16" ht="15" x14ac:dyDescent="0.25">
      <c r="A10" t="b">
        <f>EXACT(EGR2023_MASTER!A10,'September 2023 Update (WRI)'!B10)</f>
        <v>1</v>
      </c>
      <c r="B10" s="71" t="s">
        <v>50</v>
      </c>
      <c r="C10" s="89" t="s">
        <v>33</v>
      </c>
      <c r="D10" s="10">
        <v>2018</v>
      </c>
      <c r="E10" s="10">
        <v>12233</v>
      </c>
      <c r="F10" s="102">
        <v>13283.73005606</v>
      </c>
      <c r="G10" s="12">
        <v>2030</v>
      </c>
      <c r="H10" s="11">
        <v>14092</v>
      </c>
      <c r="I10" s="76">
        <v>2060</v>
      </c>
      <c r="J10" s="13">
        <v>12055.41</v>
      </c>
      <c r="K10" s="81" t="s">
        <v>74</v>
      </c>
      <c r="L10" s="71" t="s">
        <v>230</v>
      </c>
      <c r="M10" s="71" t="s">
        <v>237</v>
      </c>
      <c r="N10" s="80" t="s">
        <v>175</v>
      </c>
      <c r="O10" s="86" t="str">
        <f>EGR2023_MASTER!Q10</f>
        <v>n</v>
      </c>
      <c r="P10" t="str">
        <f t="shared" si="0"/>
        <v>weak</v>
      </c>
    </row>
    <row r="11" spans="1:16" ht="15" x14ac:dyDescent="0.25">
      <c r="A11" t="b">
        <f>EXACT(EGR2023_MASTER!A11,'September 2023 Update (WRI)'!B11)</f>
        <v>1</v>
      </c>
      <c r="B11" s="71" t="s">
        <v>52</v>
      </c>
      <c r="C11" s="89" t="s">
        <v>33</v>
      </c>
      <c r="D11" s="10">
        <v>2020</v>
      </c>
      <c r="E11" s="10">
        <v>3043</v>
      </c>
      <c r="F11" s="11">
        <v>3046</v>
      </c>
      <c r="G11" s="12">
        <v>2030</v>
      </c>
      <c r="H11" s="11">
        <v>2146</v>
      </c>
      <c r="I11" s="76">
        <v>2050</v>
      </c>
      <c r="J11" s="22">
        <v>3149.57</v>
      </c>
      <c r="K11" s="71" t="s">
        <v>41</v>
      </c>
      <c r="L11" s="71" t="s">
        <v>232</v>
      </c>
      <c r="M11" s="83" t="s">
        <v>235</v>
      </c>
      <c r="N11" s="80" t="s">
        <v>125</v>
      </c>
      <c r="O11" s="86" t="str">
        <f>EGR2023_MASTER!Q11</f>
        <v>y</v>
      </c>
      <c r="P11" t="str">
        <f t="shared" si="0"/>
        <v>stronger</v>
      </c>
    </row>
    <row r="12" spans="1:16" s="94" customFormat="1" ht="15" x14ac:dyDescent="0.25">
      <c r="A12" s="94" t="b">
        <v>1</v>
      </c>
      <c r="B12" s="111" t="s">
        <v>247</v>
      </c>
      <c r="C12" s="95" t="s">
        <v>33</v>
      </c>
      <c r="D12" s="10"/>
      <c r="E12" s="10"/>
      <c r="F12" s="102">
        <v>52.120975955999903</v>
      </c>
      <c r="G12" s="12"/>
      <c r="H12" s="11"/>
      <c r="I12" s="110">
        <v>2070</v>
      </c>
      <c r="J12" s="22"/>
      <c r="K12" s="111" t="s">
        <v>74</v>
      </c>
      <c r="L12" s="71"/>
      <c r="M12" s="83"/>
      <c r="N12" s="80"/>
      <c r="O12" s="86"/>
      <c r="P12" s="109" t="s">
        <v>242</v>
      </c>
    </row>
    <row r="13" spans="1:16" ht="15" x14ac:dyDescent="0.25">
      <c r="A13" t="b">
        <f>EXACT(EGR2023_MASTER!A13,'September 2023 Update (WRI)'!B13)</f>
        <v>1</v>
      </c>
      <c r="B13" s="71" t="s">
        <v>54</v>
      </c>
      <c r="C13" s="89" t="s">
        <v>33</v>
      </c>
      <c r="D13" s="10">
        <v>2018</v>
      </c>
      <c r="E13" s="10">
        <v>2692</v>
      </c>
      <c r="F13" s="102">
        <v>3626.73772156</v>
      </c>
      <c r="G13" s="12">
        <v>2030</v>
      </c>
      <c r="H13" s="11">
        <v>4934</v>
      </c>
      <c r="I13" s="76">
        <v>2070</v>
      </c>
      <c r="J13" s="13">
        <v>3363.59</v>
      </c>
      <c r="K13" s="71" t="s">
        <v>34</v>
      </c>
      <c r="L13" s="71" t="s">
        <v>225</v>
      </c>
      <c r="M13" s="71" t="s">
        <v>229</v>
      </c>
      <c r="N13" s="80" t="s">
        <v>175</v>
      </c>
      <c r="O13" s="86" t="str">
        <f>EGR2023_MASTER!Q13</f>
        <v>n</v>
      </c>
      <c r="P13" t="str">
        <f t="shared" si="0"/>
        <v>weak</v>
      </c>
    </row>
    <row r="14" spans="1:16" ht="15" x14ac:dyDescent="0.25">
      <c r="A14" t="b">
        <f>EXACT(EGR2023_MASTER!A14,'September 2023 Update (WRI)'!B14)</f>
        <v>1</v>
      </c>
      <c r="B14" s="71" t="s">
        <v>56</v>
      </c>
      <c r="C14" s="89" t="s">
        <v>33</v>
      </c>
      <c r="D14" s="10">
        <v>2016</v>
      </c>
      <c r="E14" s="10">
        <v>1491</v>
      </c>
      <c r="F14" s="102">
        <v>1931.10341866666</v>
      </c>
      <c r="G14" s="12">
        <v>2030</v>
      </c>
      <c r="H14" s="11">
        <v>2130</v>
      </c>
      <c r="I14" s="76">
        <v>2060</v>
      </c>
      <c r="J14" s="13">
        <v>1959.71</v>
      </c>
      <c r="K14" s="71" t="s">
        <v>34</v>
      </c>
      <c r="L14" s="71" t="s">
        <v>229</v>
      </c>
      <c r="M14" s="71" t="s">
        <v>237</v>
      </c>
      <c r="N14" s="80" t="s">
        <v>175</v>
      </c>
      <c r="O14" s="86" t="str">
        <f>EGR2023_MASTER!Q14</f>
        <v>n</v>
      </c>
      <c r="P14" t="str">
        <f t="shared" si="0"/>
        <v>weak</v>
      </c>
    </row>
    <row r="15" spans="1:16" ht="15" x14ac:dyDescent="0.25">
      <c r="A15" t="b">
        <f>EXACT(EGR2023_MASTER!A15,'September 2023 Update (WRI)'!B15)</f>
        <v>1</v>
      </c>
      <c r="B15" s="71" t="s">
        <v>58</v>
      </c>
      <c r="C15" s="89" t="s">
        <v>33</v>
      </c>
      <c r="D15" s="10">
        <v>2020</v>
      </c>
      <c r="E15" s="10">
        <v>1070</v>
      </c>
      <c r="F15" s="102">
        <v>1078.7546923883301</v>
      </c>
      <c r="G15" s="12">
        <v>2030</v>
      </c>
      <c r="H15" s="11">
        <v>767</v>
      </c>
      <c r="I15" s="76">
        <v>2050</v>
      </c>
      <c r="J15" s="13">
        <v>1134.45</v>
      </c>
      <c r="K15" s="71" t="s">
        <v>41</v>
      </c>
      <c r="L15" s="71" t="s">
        <v>230</v>
      </c>
      <c r="M15" s="71" t="s">
        <v>229</v>
      </c>
      <c r="N15" s="80" t="s">
        <v>175</v>
      </c>
      <c r="O15" s="86" t="str">
        <f>EGR2023_MASTER!Q15</f>
        <v>n</v>
      </c>
      <c r="P15" t="str">
        <f t="shared" si="0"/>
        <v>weak</v>
      </c>
    </row>
    <row r="16" spans="1:16" ht="15" x14ac:dyDescent="0.25">
      <c r="A16" t="b">
        <f>EXACT(EGR2023_MASTER!A16,'September 2023 Update (WRI)'!B16)</f>
        <v>1</v>
      </c>
      <c r="B16" s="71" t="s">
        <v>61</v>
      </c>
      <c r="C16" s="89" t="s">
        <v>33</v>
      </c>
      <c r="D16" s="10">
        <v>2017</v>
      </c>
      <c r="E16" s="10">
        <v>577</v>
      </c>
      <c r="F16" s="102">
        <v>864.23827752666705</v>
      </c>
      <c r="G16" s="12">
        <v>2030</v>
      </c>
      <c r="H16" s="11">
        <v>772</v>
      </c>
      <c r="I16" s="71">
        <v>2050</v>
      </c>
      <c r="J16" s="13">
        <v>670.84</v>
      </c>
      <c r="K16" s="71" t="s">
        <v>63</v>
      </c>
      <c r="L16" s="71" t="s">
        <v>233</v>
      </c>
      <c r="M16" s="71" t="s">
        <v>233</v>
      </c>
      <c r="N16" s="80" t="s">
        <v>233</v>
      </c>
      <c r="O16" s="86" t="str">
        <f>EGR2023_MASTER!Q16</f>
        <v>n</v>
      </c>
      <c r="P16" t="str">
        <f t="shared" si="0"/>
        <v>weak</v>
      </c>
    </row>
    <row r="17" spans="1:16" ht="15" x14ac:dyDescent="0.25">
      <c r="A17" t="b">
        <f>EXACT(EGR2023_MASTER!A17,'September 2023 Update (WRI)'!B17)</f>
        <v>1</v>
      </c>
      <c r="B17" s="71" t="s">
        <v>65</v>
      </c>
      <c r="C17" s="89" t="s">
        <v>33</v>
      </c>
      <c r="D17" s="10">
        <v>2017</v>
      </c>
      <c r="E17" s="10">
        <v>672</v>
      </c>
      <c r="F17" s="102">
        <v>641.52026556066596</v>
      </c>
      <c r="G17" s="12">
        <v>2030</v>
      </c>
      <c r="H17" s="11">
        <v>437</v>
      </c>
      <c r="I17" s="76">
        <v>2050</v>
      </c>
      <c r="J17" s="13">
        <v>652.66</v>
      </c>
      <c r="K17" s="81" t="s">
        <v>34</v>
      </c>
      <c r="L17" s="71" t="s">
        <v>232</v>
      </c>
      <c r="M17" s="71" t="s">
        <v>237</v>
      </c>
      <c r="N17" s="80" t="s">
        <v>125</v>
      </c>
      <c r="O17" s="86" t="str">
        <f>EGR2023_MASTER!Q17</f>
        <v>n</v>
      </c>
      <c r="P17" t="str">
        <f t="shared" si="0"/>
        <v>weak</v>
      </c>
    </row>
    <row r="18" spans="1:16" s="94" customFormat="1" ht="15" x14ac:dyDescent="0.25">
      <c r="A18" s="94" t="b">
        <v>1</v>
      </c>
      <c r="B18" s="111" t="s">
        <v>249</v>
      </c>
      <c r="C18" s="95" t="s">
        <v>33</v>
      </c>
      <c r="D18" s="10"/>
      <c r="E18" s="10"/>
      <c r="F18" s="102">
        <v>137.021117904166</v>
      </c>
      <c r="G18" s="12"/>
      <c r="H18" s="11"/>
      <c r="I18" s="110">
        <v>2060</v>
      </c>
      <c r="J18" s="13"/>
      <c r="K18" s="111" t="s">
        <v>74</v>
      </c>
      <c r="L18" s="71"/>
      <c r="M18" s="71"/>
      <c r="N18" s="80"/>
      <c r="O18" s="86"/>
      <c r="P18" s="109" t="s">
        <v>242</v>
      </c>
    </row>
    <row r="19" spans="1:16" s="94" customFormat="1" ht="15" x14ac:dyDescent="0.25">
      <c r="A19" s="94" t="b">
        <v>1</v>
      </c>
      <c r="B19" s="111" t="s">
        <v>250</v>
      </c>
      <c r="C19" s="95" t="s">
        <v>33</v>
      </c>
      <c r="D19" s="10"/>
      <c r="E19" s="10"/>
      <c r="F19" s="102">
        <v>67.476742542333298</v>
      </c>
      <c r="G19" s="12"/>
      <c r="H19" s="11"/>
      <c r="I19" s="110">
        <v>2050</v>
      </c>
      <c r="J19" s="13"/>
      <c r="K19" s="111" t="s">
        <v>41</v>
      </c>
      <c r="L19" s="71"/>
      <c r="M19" s="71"/>
      <c r="N19" s="80"/>
      <c r="O19" s="86"/>
      <c r="P19" s="109" t="s">
        <v>242</v>
      </c>
    </row>
    <row r="20" spans="1:16" ht="15" x14ac:dyDescent="0.25">
      <c r="A20" t="b">
        <f>EXACT(EGR2023_MASTER!A20,'September 2023 Update (WRI)'!B20)</f>
        <v>1</v>
      </c>
      <c r="B20" s="71" t="s">
        <v>68</v>
      </c>
      <c r="C20" s="89" t="s">
        <v>33</v>
      </c>
      <c r="D20" s="10">
        <v>2018</v>
      </c>
      <c r="E20" s="10">
        <v>1629</v>
      </c>
      <c r="F20" s="102">
        <v>2235.4309433499998</v>
      </c>
      <c r="G20" s="12">
        <v>2030</v>
      </c>
      <c r="H20" s="11">
        <v>2205</v>
      </c>
      <c r="I20" s="76">
        <v>2060</v>
      </c>
      <c r="J20" s="13">
        <v>1924.82</v>
      </c>
      <c r="K20" s="81" t="s">
        <v>41</v>
      </c>
      <c r="L20" s="71" t="s">
        <v>230</v>
      </c>
      <c r="M20" s="71" t="s">
        <v>237</v>
      </c>
      <c r="N20" s="80" t="s">
        <v>175</v>
      </c>
      <c r="O20" s="86" t="str">
        <f>EGR2023_MASTER!Q20</f>
        <v>n</v>
      </c>
      <c r="P20" t="str">
        <f t="shared" si="0"/>
        <v>weak</v>
      </c>
    </row>
    <row r="21" spans="1:16" ht="15" x14ac:dyDescent="0.25">
      <c r="A21" t="b">
        <f>EXACT(EGR2023_MASTER!A21,'September 2023 Update (WRI)'!B21)</f>
        <v>1</v>
      </c>
      <c r="B21" s="71" t="s">
        <v>70</v>
      </c>
      <c r="C21" s="89" t="s">
        <v>33</v>
      </c>
      <c r="D21" s="10">
        <v>2015</v>
      </c>
      <c r="E21" s="10">
        <v>640</v>
      </c>
      <c r="F21" s="102">
        <v>749.85290520900003</v>
      </c>
      <c r="G21" s="12">
        <v>2030</v>
      </c>
      <c r="H21" s="11">
        <v>650</v>
      </c>
      <c r="I21" s="76">
        <v>2060</v>
      </c>
      <c r="J21" s="13">
        <v>723.15</v>
      </c>
      <c r="K21" s="71" t="s">
        <v>34</v>
      </c>
      <c r="L21" s="71" t="s">
        <v>229</v>
      </c>
      <c r="M21" s="71" t="s">
        <v>229</v>
      </c>
      <c r="N21" s="80" t="s">
        <v>83</v>
      </c>
      <c r="O21" s="86" t="str">
        <f>EGR2023_MASTER!Q21</f>
        <v>n</v>
      </c>
      <c r="P21" t="str">
        <f t="shared" si="0"/>
        <v>weak</v>
      </c>
    </row>
    <row r="22" spans="1:16" ht="15" x14ac:dyDescent="0.25">
      <c r="A22" t="b">
        <f>EXACT(EGR2023_MASTER!A22,'September 2023 Update (WRI)'!B22)</f>
        <v>1</v>
      </c>
      <c r="B22" s="71" t="s">
        <v>72</v>
      </c>
      <c r="C22" s="89" t="s">
        <v>33</v>
      </c>
      <c r="D22" s="10">
        <v>2017</v>
      </c>
      <c r="E22" s="10">
        <v>528</v>
      </c>
      <c r="F22" s="102">
        <v>549.74934122633294</v>
      </c>
      <c r="G22" s="12">
        <v>2030</v>
      </c>
      <c r="H22" s="11">
        <v>399</v>
      </c>
      <c r="I22" s="76">
        <v>2050</v>
      </c>
      <c r="J22" s="13">
        <v>562.19000000000005</v>
      </c>
      <c r="K22" s="71" t="s">
        <v>74</v>
      </c>
      <c r="L22" s="71" t="s">
        <v>229</v>
      </c>
      <c r="M22" s="71" t="s">
        <v>229</v>
      </c>
      <c r="N22" s="80" t="s">
        <v>83</v>
      </c>
      <c r="O22" s="86" t="str">
        <f>EGR2023_MASTER!Q22</f>
        <v>n</v>
      </c>
      <c r="P22" t="str">
        <f t="shared" si="0"/>
        <v>weak</v>
      </c>
    </row>
    <row r="23" spans="1:16" ht="15" x14ac:dyDescent="0.25">
      <c r="A23" t="b">
        <f>EXACT(EGR2023_MASTER!A23,'September 2023 Update (WRI)'!B23)</f>
        <v>1</v>
      </c>
      <c r="B23" s="71" t="s">
        <v>234</v>
      </c>
      <c r="C23" s="89" t="s">
        <v>33</v>
      </c>
      <c r="D23" s="10">
        <v>2018</v>
      </c>
      <c r="E23" s="10">
        <v>426</v>
      </c>
      <c r="F23" s="102">
        <v>547.64201104333301</v>
      </c>
      <c r="G23" s="12">
        <v>2030</v>
      </c>
      <c r="H23" s="11">
        <v>936</v>
      </c>
      <c r="I23" s="76">
        <v>2053</v>
      </c>
      <c r="J23" s="13">
        <v>459.86</v>
      </c>
      <c r="K23" s="71" t="s">
        <v>34</v>
      </c>
      <c r="L23" s="71" t="s">
        <v>230</v>
      </c>
      <c r="M23" s="71" t="s">
        <v>237</v>
      </c>
      <c r="N23" s="80" t="s">
        <v>175</v>
      </c>
      <c r="O23" s="86" t="str">
        <f>EGR2023_MASTER!Q23</f>
        <v>n</v>
      </c>
      <c r="P23" t="str">
        <f t="shared" si="0"/>
        <v>weak</v>
      </c>
    </row>
    <row r="24" spans="1:16" ht="15" x14ac:dyDescent="0.25">
      <c r="A24" t="b">
        <f>EXACT(EGR2023_MASTER!A24,'September 2023 Update (WRI)'!B24)</f>
        <v>1</v>
      </c>
      <c r="B24" s="71" t="s">
        <v>77</v>
      </c>
      <c r="C24" s="89" t="s">
        <v>33</v>
      </c>
      <c r="D24" s="10">
        <v>2020</v>
      </c>
      <c r="E24" s="10">
        <v>396</v>
      </c>
      <c r="F24" s="102">
        <v>416.13753347333301</v>
      </c>
      <c r="G24" s="12">
        <v>2030</v>
      </c>
      <c r="H24" s="11">
        <v>277</v>
      </c>
      <c r="I24" s="76">
        <v>2050</v>
      </c>
      <c r="J24" s="13">
        <v>429.13</v>
      </c>
      <c r="K24" s="71" t="s">
        <v>41</v>
      </c>
      <c r="L24" s="71" t="s">
        <v>230</v>
      </c>
      <c r="M24" s="71" t="s">
        <v>238</v>
      </c>
      <c r="N24" s="80" t="s">
        <v>125</v>
      </c>
      <c r="O24" s="86" t="str">
        <f>EGR2023_MASTER!Q24</f>
        <v>y</v>
      </c>
      <c r="P24" t="str">
        <f t="shared" si="0"/>
        <v>stronger</v>
      </c>
    </row>
    <row r="25" spans="1:16" ht="15" x14ac:dyDescent="0.25">
      <c r="A25" t="b">
        <f>EXACT(EGR2023_MASTER!A25,'September 2023 Update (WRI)'!B25)</f>
        <v>1</v>
      </c>
      <c r="B25" s="71" t="s">
        <v>79</v>
      </c>
      <c r="C25" s="89" t="s">
        <v>33</v>
      </c>
      <c r="D25" s="10">
        <v>2020</v>
      </c>
      <c r="E25" s="10">
        <v>5167</v>
      </c>
      <c r="F25" s="102">
        <v>5635.0954122133298</v>
      </c>
      <c r="G25" s="12">
        <v>2030</v>
      </c>
      <c r="H25" s="11">
        <v>3279</v>
      </c>
      <c r="I25" s="76">
        <v>2050</v>
      </c>
      <c r="J25" s="13">
        <v>5771</v>
      </c>
      <c r="K25" s="71" t="s">
        <v>41</v>
      </c>
      <c r="L25" s="71" t="s">
        <v>230</v>
      </c>
      <c r="M25" s="71" t="s">
        <v>229</v>
      </c>
      <c r="N25" s="80" t="s">
        <v>125</v>
      </c>
      <c r="O25" s="86" t="str">
        <f>EGR2023_MASTER!Q25</f>
        <v>y</v>
      </c>
      <c r="P25" t="str">
        <f t="shared" si="0"/>
        <v>stronger</v>
      </c>
    </row>
    <row r="26" spans="1:16" ht="15" x14ac:dyDescent="0.25">
      <c r="A26" t="b">
        <f>EXACT(EGR2023_MASTER!A26,'September 2023 Update (WRI)'!B26)</f>
        <v>1</v>
      </c>
      <c r="B26" s="71" t="s">
        <v>81</v>
      </c>
      <c r="C26" s="89" t="s">
        <v>33</v>
      </c>
      <c r="D26" s="10">
        <v>2018</v>
      </c>
      <c r="E26" s="10">
        <v>403</v>
      </c>
      <c r="F26" s="102">
        <v>462.96851493899999</v>
      </c>
      <c r="G26" s="12">
        <v>2030</v>
      </c>
      <c r="H26" s="23">
        <v>383.7</v>
      </c>
      <c r="I26" s="76">
        <v>2050</v>
      </c>
      <c r="J26" s="13">
        <v>396.11</v>
      </c>
      <c r="K26" s="71" t="s">
        <v>34</v>
      </c>
      <c r="L26" s="83" t="s">
        <v>235</v>
      </c>
      <c r="M26" s="71" t="s">
        <v>237</v>
      </c>
      <c r="N26" s="80" t="s">
        <v>175</v>
      </c>
      <c r="O26" s="86" t="str">
        <f>EGR2023_MASTER!Q26</f>
        <v>n</v>
      </c>
      <c r="P26" t="str">
        <f t="shared" si="0"/>
        <v>weak</v>
      </c>
    </row>
    <row r="27" spans="1:16" s="94" customFormat="1" ht="15" x14ac:dyDescent="0.25">
      <c r="A27" s="94" t="b">
        <v>1</v>
      </c>
      <c r="B27" s="111" t="s">
        <v>253</v>
      </c>
      <c r="C27" s="95" t="s">
        <v>33</v>
      </c>
      <c r="D27" s="10"/>
      <c r="E27" s="10"/>
      <c r="F27" s="102">
        <v>21.257215436333301</v>
      </c>
      <c r="G27" s="12"/>
      <c r="H27" s="23"/>
      <c r="I27" s="110">
        <v>2050</v>
      </c>
      <c r="J27" s="13"/>
      <c r="K27" s="111" t="s">
        <v>41</v>
      </c>
      <c r="L27" s="83"/>
      <c r="M27" s="71"/>
      <c r="N27" s="80"/>
      <c r="O27" s="86"/>
      <c r="P27" s="109" t="s">
        <v>242</v>
      </c>
    </row>
    <row r="28" spans="1:16" ht="15" x14ac:dyDescent="0.25">
      <c r="A28" t="b">
        <f>EXACT(EGR2023_MASTER!A28,'September 2023 Update (WRI)'!B28)</f>
        <v>1</v>
      </c>
      <c r="B28" s="71" t="s">
        <v>87</v>
      </c>
      <c r="C28" s="89" t="s">
        <v>33</v>
      </c>
      <c r="D28" s="10">
        <v>2018</v>
      </c>
      <c r="E28" s="10">
        <v>360</v>
      </c>
      <c r="F28" s="102">
        <v>433.78230115333298</v>
      </c>
      <c r="G28" s="12">
        <v>2030</v>
      </c>
      <c r="H28" s="27">
        <v>334</v>
      </c>
      <c r="I28" s="76">
        <v>2060</v>
      </c>
      <c r="J28" s="13">
        <v>354.33</v>
      </c>
      <c r="K28" s="71" t="s">
        <v>41</v>
      </c>
      <c r="L28" s="71" t="s">
        <v>230</v>
      </c>
      <c r="M28" s="71" t="s">
        <v>237</v>
      </c>
      <c r="N28" s="80" t="s">
        <v>175</v>
      </c>
      <c r="O28" s="86" t="str">
        <f>EGR2023_MASTER!Q28</f>
        <v>n</v>
      </c>
      <c r="P28" t="str">
        <f t="shared" si="0"/>
        <v>weak</v>
      </c>
    </row>
    <row r="29" spans="1:16" s="94" customFormat="1" ht="15" x14ac:dyDescent="0.25">
      <c r="A29" s="94" t="b">
        <v>1</v>
      </c>
      <c r="B29" s="111" t="s">
        <v>255</v>
      </c>
      <c r="C29" s="95" t="s">
        <v>33</v>
      </c>
      <c r="D29" s="10"/>
      <c r="E29" s="10"/>
      <c r="F29" s="102">
        <v>105.534552053299</v>
      </c>
      <c r="G29" s="12"/>
      <c r="H29" s="27"/>
      <c r="I29" s="110">
        <v>2050</v>
      </c>
      <c r="J29" s="13"/>
      <c r="K29" s="111" t="s">
        <v>74</v>
      </c>
      <c r="L29" s="71"/>
      <c r="M29" s="71"/>
      <c r="N29" s="80"/>
      <c r="O29" s="86"/>
      <c r="P29" s="109" t="s">
        <v>242</v>
      </c>
    </row>
    <row r="30" spans="1:16" s="94" customFormat="1" ht="15" x14ac:dyDescent="0.25">
      <c r="A30" s="94" t="b">
        <v>1</v>
      </c>
      <c r="B30" s="111" t="s">
        <v>208</v>
      </c>
      <c r="C30" s="95"/>
      <c r="D30" s="10"/>
      <c r="E30" s="10"/>
      <c r="F30" s="102">
        <v>124.585301438333</v>
      </c>
      <c r="G30" s="12"/>
      <c r="H30" s="27"/>
      <c r="I30" s="110">
        <v>2050</v>
      </c>
      <c r="J30" s="13"/>
      <c r="K30" s="111" t="s">
        <v>74</v>
      </c>
      <c r="L30" s="71"/>
      <c r="M30" s="71"/>
      <c r="N30" s="80"/>
      <c r="O30" s="86"/>
      <c r="P30" s="109" t="s">
        <v>242</v>
      </c>
    </row>
    <row r="31" spans="1:16" ht="15" x14ac:dyDescent="0.25">
      <c r="A31" t="b">
        <f>EXACT(EGR2023_MASTER!A31,'September 2023 Update (WRI)'!B31)</f>
        <v>1</v>
      </c>
      <c r="B31" s="71" t="s">
        <v>90</v>
      </c>
      <c r="C31" s="89" t="s">
        <v>33</v>
      </c>
      <c r="D31" s="10">
        <v>2018</v>
      </c>
      <c r="E31" s="10">
        <v>360</v>
      </c>
      <c r="F31" s="102">
        <v>424.60294186599998</v>
      </c>
      <c r="G31" s="12">
        <v>2030</v>
      </c>
      <c r="H31" s="30">
        <v>444</v>
      </c>
      <c r="I31" s="76">
        <v>2050</v>
      </c>
      <c r="J31" s="13">
        <v>437.18</v>
      </c>
      <c r="K31" s="71" t="s">
        <v>74</v>
      </c>
      <c r="L31" s="71" t="s">
        <v>232</v>
      </c>
      <c r="M31" s="71" t="s">
        <v>229</v>
      </c>
      <c r="N31" s="80" t="s">
        <v>175</v>
      </c>
      <c r="O31" s="86" t="str">
        <f>EGR2023_MASTER!Q31</f>
        <v>n</v>
      </c>
      <c r="P31" t="str">
        <f t="shared" si="0"/>
        <v>weak</v>
      </c>
    </row>
    <row r="32" spans="1:16" ht="15" x14ac:dyDescent="0.25">
      <c r="A32" t="b">
        <f>EXACT(EGR2023_MASTER!A32,'September 2023 Update (WRI)'!B32)</f>
        <v>1</v>
      </c>
      <c r="B32" s="71" t="s">
        <v>93</v>
      </c>
      <c r="C32" s="89" t="s">
        <v>33</v>
      </c>
      <c r="D32" s="10">
        <v>2018</v>
      </c>
      <c r="E32" s="10">
        <v>351</v>
      </c>
      <c r="F32" s="102">
        <v>345.136570871</v>
      </c>
      <c r="G32" s="12">
        <v>2030</v>
      </c>
      <c r="H32" s="30">
        <v>324.44</v>
      </c>
      <c r="I32" s="76">
        <v>2060</v>
      </c>
      <c r="J32" s="13">
        <v>271.68</v>
      </c>
      <c r="K32" s="81" t="s">
        <v>41</v>
      </c>
      <c r="L32" s="71" t="s">
        <v>232</v>
      </c>
      <c r="M32" s="71" t="s">
        <v>229</v>
      </c>
      <c r="N32" s="80" t="s">
        <v>175</v>
      </c>
      <c r="O32" s="86" t="str">
        <f>EGR2023_MASTER!Q32</f>
        <v>n</v>
      </c>
      <c r="P32" t="str">
        <f t="shared" si="0"/>
        <v>weak</v>
      </c>
    </row>
    <row r="33" spans="1:16" ht="15" x14ac:dyDescent="0.25">
      <c r="A33" t="b">
        <f>EXACT(EGR2023_MASTER!A33,'September 2023 Update (WRI)'!B33)</f>
        <v>1</v>
      </c>
      <c r="B33" s="71" t="s">
        <v>96</v>
      </c>
      <c r="C33" s="89" t="s">
        <v>33</v>
      </c>
      <c r="D33" s="10">
        <v>2018</v>
      </c>
      <c r="E33" s="10">
        <v>341</v>
      </c>
      <c r="F33" s="102">
        <v>290.02069591133301</v>
      </c>
      <c r="G33" s="12">
        <v>2030</v>
      </c>
      <c r="H33" s="30">
        <v>309</v>
      </c>
      <c r="I33" s="76">
        <v>2060</v>
      </c>
      <c r="J33" s="13">
        <v>221.29</v>
      </c>
      <c r="K33" s="81" t="s">
        <v>34</v>
      </c>
      <c r="L33" s="71" t="s">
        <v>229</v>
      </c>
      <c r="M33" s="71" t="s">
        <v>229</v>
      </c>
      <c r="N33" s="80" t="s">
        <v>83</v>
      </c>
      <c r="O33" s="86" t="str">
        <f>EGR2023_MASTER!Q33</f>
        <v>n</v>
      </c>
      <c r="P33" t="str">
        <f t="shared" si="0"/>
        <v>weak</v>
      </c>
    </row>
    <row r="34" spans="1:16" ht="15" x14ac:dyDescent="0.25">
      <c r="A34" t="b">
        <f>EXACT(EGR2023_MASTER!A34,'September 2023 Update (WRI)'!B34)</f>
        <v>1</v>
      </c>
      <c r="B34" s="71" t="s">
        <v>100</v>
      </c>
      <c r="C34" s="89" t="s">
        <v>33</v>
      </c>
      <c r="D34" s="10">
        <v>2018</v>
      </c>
      <c r="E34" s="10">
        <v>334</v>
      </c>
      <c r="F34" s="102">
        <v>633.68712365766703</v>
      </c>
      <c r="G34" s="12">
        <v>2030</v>
      </c>
      <c r="H34" s="30">
        <v>844</v>
      </c>
      <c r="I34" s="76">
        <v>2050</v>
      </c>
      <c r="J34" s="13">
        <v>438.11</v>
      </c>
      <c r="K34" s="71" t="s">
        <v>34</v>
      </c>
      <c r="L34" s="71" t="s">
        <v>232</v>
      </c>
      <c r="M34" s="71" t="s">
        <v>237</v>
      </c>
      <c r="N34" s="80" t="s">
        <v>175</v>
      </c>
      <c r="O34" s="86" t="str">
        <f>EGR2023_MASTER!Q34</f>
        <v>n</v>
      </c>
      <c r="P34" t="str">
        <f t="shared" si="0"/>
        <v>weak</v>
      </c>
    </row>
    <row r="35" spans="1:16" ht="15" x14ac:dyDescent="0.25">
      <c r="A35" t="b">
        <f>EXACT(EGR2023_MASTER!A35,'September 2023 Update (WRI)'!B35)</f>
        <v>1</v>
      </c>
      <c r="B35" s="71" t="s">
        <v>102</v>
      </c>
      <c r="C35" s="89" t="s">
        <v>33</v>
      </c>
      <c r="D35" s="10">
        <v>2018</v>
      </c>
      <c r="E35" s="35">
        <v>282</v>
      </c>
      <c r="F35" s="102">
        <v>255.60168192333299</v>
      </c>
      <c r="G35" s="12">
        <v>2030</v>
      </c>
      <c r="H35" s="30">
        <v>164</v>
      </c>
      <c r="I35" s="76">
        <v>2050</v>
      </c>
      <c r="J35" s="13">
        <v>270.52999999999997</v>
      </c>
      <c r="K35" s="71" t="s">
        <v>41</v>
      </c>
      <c r="L35" s="71" t="s">
        <v>232</v>
      </c>
      <c r="M35" s="71" t="s">
        <v>237</v>
      </c>
      <c r="N35" s="80" t="s">
        <v>175</v>
      </c>
      <c r="O35" s="86" t="str">
        <f>EGR2023_MASTER!Q35</f>
        <v>n</v>
      </c>
      <c r="P35" t="str">
        <f t="shared" si="0"/>
        <v>weak</v>
      </c>
    </row>
    <row r="36" spans="1:16" ht="15" x14ac:dyDescent="0.25">
      <c r="A36" t="b">
        <f>EXACT(EGR2023_MASTER!A36,'September 2023 Update (WRI)'!B36)</f>
        <v>1</v>
      </c>
      <c r="B36" s="71" t="s">
        <v>104</v>
      </c>
      <c r="C36" s="89" t="s">
        <v>33</v>
      </c>
      <c r="D36" s="10">
        <v>2018</v>
      </c>
      <c r="E36" s="10">
        <v>215</v>
      </c>
      <c r="F36" s="103">
        <v>269.39445939893301</v>
      </c>
      <c r="G36" s="12">
        <v>2030</v>
      </c>
      <c r="H36" s="30">
        <v>208</v>
      </c>
      <c r="I36" s="76">
        <v>2050</v>
      </c>
      <c r="J36" s="13">
        <v>243.55</v>
      </c>
      <c r="K36" s="111" t="s">
        <v>41</v>
      </c>
      <c r="L36" s="71" t="s">
        <v>230</v>
      </c>
      <c r="M36" s="71" t="s">
        <v>237</v>
      </c>
      <c r="N36" s="80" t="s">
        <v>175</v>
      </c>
      <c r="O36" s="86" t="str">
        <f>EGR2023_MASTER!Q36</f>
        <v>n</v>
      </c>
      <c r="P36" t="str">
        <f t="shared" si="0"/>
        <v>weak</v>
      </c>
    </row>
    <row r="37" spans="1:16" ht="15" x14ac:dyDescent="0.25">
      <c r="A37" t="b">
        <f>EXACT(EGR2023_MASTER!A37,'September 2023 Update (WRI)'!B37)</f>
        <v>1</v>
      </c>
      <c r="B37" s="71" t="s">
        <v>106</v>
      </c>
      <c r="C37" s="89" t="s">
        <v>33</v>
      </c>
      <c r="D37" s="10">
        <v>2018</v>
      </c>
      <c r="E37" s="10">
        <v>109</v>
      </c>
      <c r="F37" s="102">
        <v>119.119133939333</v>
      </c>
      <c r="G37" s="12">
        <v>2030</v>
      </c>
      <c r="H37" s="23">
        <v>81</v>
      </c>
      <c r="I37" s="76">
        <v>2050</v>
      </c>
      <c r="J37" s="13">
        <v>55.33</v>
      </c>
      <c r="K37" s="71" t="s">
        <v>41</v>
      </c>
      <c r="L37" s="71" t="s">
        <v>232</v>
      </c>
      <c r="M37" s="71" t="s">
        <v>237</v>
      </c>
      <c r="N37" s="80" t="s">
        <v>175</v>
      </c>
      <c r="O37" s="86" t="str">
        <f>EGR2023_MASTER!Q37</f>
        <v>n</v>
      </c>
      <c r="P37" t="str">
        <f t="shared" si="0"/>
        <v>weak</v>
      </c>
    </row>
    <row r="38" spans="1:16" ht="15" x14ac:dyDescent="0.25">
      <c r="A38" t="b">
        <f>EXACT(EGR2023_MASTER!A38,'September 2023 Update (WRI)'!B38)</f>
        <v>1</v>
      </c>
      <c r="B38" s="71" t="s">
        <v>108</v>
      </c>
      <c r="C38" s="89" t="s">
        <v>33</v>
      </c>
      <c r="D38" s="10">
        <v>2019</v>
      </c>
      <c r="E38" s="10">
        <v>353</v>
      </c>
      <c r="F38" s="29">
        <v>332</v>
      </c>
      <c r="G38" s="12">
        <v>2030</v>
      </c>
      <c r="H38" s="30">
        <v>515</v>
      </c>
      <c r="I38" s="76" t="s">
        <v>110</v>
      </c>
      <c r="J38" s="13">
        <v>351.96</v>
      </c>
      <c r="K38" s="71" t="s">
        <v>63</v>
      </c>
      <c r="L38" s="71" t="s">
        <v>233</v>
      </c>
      <c r="M38" s="71" t="s">
        <v>233</v>
      </c>
      <c r="N38" s="80" t="s">
        <v>233</v>
      </c>
      <c r="O38" s="86" t="str">
        <f>EGR2023_MASTER!Q38</f>
        <v>n</v>
      </c>
      <c r="P38" t="str">
        <f t="shared" si="0"/>
        <v>weak</v>
      </c>
    </row>
    <row r="39" spans="1:16" ht="15" x14ac:dyDescent="0.25">
      <c r="A39" t="b">
        <f>EXACT(EGR2023_MASTER!A39,'September 2023 Update (WRI)'!B39)</f>
        <v>1</v>
      </c>
      <c r="B39" s="71" t="s">
        <v>111</v>
      </c>
      <c r="C39" s="89" t="s">
        <v>33</v>
      </c>
      <c r="D39" s="10">
        <v>2019</v>
      </c>
      <c r="E39" s="35">
        <v>179</v>
      </c>
      <c r="F39" s="102">
        <v>306.20927064</v>
      </c>
      <c r="G39" s="12">
        <v>2030</v>
      </c>
      <c r="H39" s="30">
        <v>347</v>
      </c>
      <c r="I39" s="82">
        <v>2050</v>
      </c>
      <c r="J39" s="13">
        <v>183.37</v>
      </c>
      <c r="K39" s="111" t="s">
        <v>41</v>
      </c>
      <c r="L39" s="71" t="s">
        <v>229</v>
      </c>
      <c r="M39" s="71" t="s">
        <v>237</v>
      </c>
      <c r="N39" s="80" t="s">
        <v>175</v>
      </c>
      <c r="O39" s="86" t="str">
        <f>EGR2023_MASTER!Q39</f>
        <v>n</v>
      </c>
      <c r="P39" t="str">
        <f t="shared" si="0"/>
        <v>weak</v>
      </c>
    </row>
    <row r="40" spans="1:16" ht="15" x14ac:dyDescent="0.25">
      <c r="A40" t="b">
        <f>EXACT(EGR2023_MASTER!A40,'September 2023 Update (WRI)'!B40)</f>
        <v>1</v>
      </c>
      <c r="B40" s="71" t="s">
        <v>113</v>
      </c>
      <c r="C40" s="89" t="s">
        <v>33</v>
      </c>
      <c r="D40" s="10">
        <v>2019</v>
      </c>
      <c r="E40" s="10">
        <v>1038</v>
      </c>
      <c r="F40" s="102">
        <v>907.52661106999994</v>
      </c>
      <c r="G40" s="12">
        <v>2030</v>
      </c>
      <c r="H40" s="30">
        <v>1959</v>
      </c>
      <c r="I40" s="76" t="s">
        <v>110</v>
      </c>
      <c r="J40" s="13">
        <v>893.78</v>
      </c>
      <c r="K40" s="71" t="s">
        <v>63</v>
      </c>
      <c r="L40" s="71" t="s">
        <v>233</v>
      </c>
      <c r="M40" s="71" t="s">
        <v>233</v>
      </c>
      <c r="N40" s="80" t="s">
        <v>233</v>
      </c>
      <c r="O40" s="86" t="str">
        <f>EGR2023_MASTER!Q40</f>
        <v>n</v>
      </c>
      <c r="P40" t="str">
        <f t="shared" si="0"/>
        <v>weak</v>
      </c>
    </row>
    <row r="41" spans="1:16" ht="15" x14ac:dyDescent="0.25">
      <c r="A41" t="b">
        <f>EXACT(EGR2023_MASTER!A41,'September 2023 Update (WRI)'!B41)</f>
        <v>1</v>
      </c>
      <c r="B41" s="71" t="s">
        <v>115</v>
      </c>
      <c r="C41" s="89" t="s">
        <v>33</v>
      </c>
      <c r="D41" s="10">
        <v>2019</v>
      </c>
      <c r="E41" s="10">
        <v>92</v>
      </c>
      <c r="F41" s="102">
        <v>102.198726400333</v>
      </c>
      <c r="G41" s="12">
        <v>2030</v>
      </c>
      <c r="H41" s="30">
        <v>116</v>
      </c>
      <c r="I41" s="71">
        <v>2100</v>
      </c>
      <c r="J41" s="13">
        <v>91.15</v>
      </c>
      <c r="K41" s="81" t="s">
        <v>34</v>
      </c>
      <c r="L41" s="71" t="s">
        <v>229</v>
      </c>
      <c r="M41" s="83" t="s">
        <v>235</v>
      </c>
      <c r="N41" s="80" t="s">
        <v>83</v>
      </c>
      <c r="O41" s="86" t="str">
        <f>EGR2023_MASTER!Q41</f>
        <v>n</v>
      </c>
      <c r="P41" t="str">
        <f t="shared" si="0"/>
        <v>weak</v>
      </c>
    </row>
    <row r="42" spans="1:16" ht="15" x14ac:dyDescent="0.25">
      <c r="A42" t="b">
        <f>EXACT(EGR2023_MASTER!A42,'September 2023 Update (WRI)'!B42)</f>
        <v>1</v>
      </c>
      <c r="B42" s="77" t="s">
        <v>117</v>
      </c>
      <c r="C42" s="89" t="s">
        <v>33</v>
      </c>
      <c r="D42" s="4"/>
      <c r="E42" s="4"/>
      <c r="F42" s="102">
        <v>73.088127354166602</v>
      </c>
      <c r="G42" s="12">
        <v>2030</v>
      </c>
      <c r="H42" s="37">
        <v>65.599999999999994</v>
      </c>
      <c r="I42" s="82">
        <v>2050</v>
      </c>
      <c r="J42" s="13">
        <v>87.26</v>
      </c>
      <c r="K42" s="81" t="s">
        <v>34</v>
      </c>
      <c r="L42" s="83" t="s">
        <v>235</v>
      </c>
      <c r="M42" s="71" t="s">
        <v>229</v>
      </c>
      <c r="N42" s="80" t="s">
        <v>83</v>
      </c>
      <c r="O42" s="86" t="str">
        <f>EGR2023_MASTER!Q42</f>
        <v>n</v>
      </c>
      <c r="P42" t="str">
        <f t="shared" si="0"/>
        <v>weak</v>
      </c>
    </row>
    <row r="43" spans="1:16" ht="15" x14ac:dyDescent="0.25">
      <c r="A43" t="b">
        <f>EXACT(EGR2023_MASTER!A43,'September 2023 Update (WRI)'!B43)</f>
        <v>1</v>
      </c>
      <c r="B43" s="77" t="s">
        <v>121</v>
      </c>
      <c r="C43" s="89" t="s">
        <v>33</v>
      </c>
      <c r="D43" s="4"/>
      <c r="E43" s="4"/>
      <c r="F43" s="102">
        <v>69.108647795182506</v>
      </c>
      <c r="G43" s="12">
        <v>2030</v>
      </c>
      <c r="H43" s="23">
        <v>33.4</v>
      </c>
      <c r="I43" s="78">
        <v>2050</v>
      </c>
      <c r="J43" s="13">
        <v>72.59</v>
      </c>
      <c r="K43" s="71" t="s">
        <v>74</v>
      </c>
      <c r="L43" s="71" t="s">
        <v>230</v>
      </c>
      <c r="M43" s="71" t="s">
        <v>238</v>
      </c>
      <c r="N43" s="80" t="s">
        <v>125</v>
      </c>
      <c r="O43" s="86" t="str">
        <f>EGR2023_MASTER!Q43</f>
        <v>y</v>
      </c>
      <c r="P43" t="str">
        <f t="shared" si="0"/>
        <v>stronger</v>
      </c>
    </row>
    <row r="44" spans="1:16" ht="15" x14ac:dyDescent="0.25">
      <c r="A44" t="b">
        <f>EXACT(EGR2023_MASTER!A44,'September 2023 Update (WRI)'!B44)</f>
        <v>1</v>
      </c>
      <c r="B44" s="77" t="s">
        <v>123</v>
      </c>
      <c r="C44" s="89" t="s">
        <v>33</v>
      </c>
      <c r="D44" s="4"/>
      <c r="E44" s="4"/>
      <c r="F44" s="39">
        <v>80</v>
      </c>
      <c r="G44" s="12">
        <v>2030</v>
      </c>
      <c r="H44" s="39">
        <v>90.5</v>
      </c>
      <c r="I44" s="78">
        <v>2050</v>
      </c>
      <c r="J44" s="13">
        <v>71.77</v>
      </c>
      <c r="K44" s="71" t="s">
        <v>74</v>
      </c>
      <c r="L44" s="83" t="s">
        <v>235</v>
      </c>
      <c r="M44" s="71" t="s">
        <v>238</v>
      </c>
      <c r="N44" s="80" t="s">
        <v>125</v>
      </c>
      <c r="O44" s="86" t="str">
        <f>EGR2023_MASTER!Q44</f>
        <v>n</v>
      </c>
      <c r="P44" t="str">
        <f t="shared" si="0"/>
        <v>weak</v>
      </c>
    </row>
    <row r="45" spans="1:16" ht="15" x14ac:dyDescent="0.25">
      <c r="A45" t="b">
        <f>EXACT(EGR2023_MASTER!A45,'September 2023 Update (WRI)'!B45)</f>
        <v>1</v>
      </c>
      <c r="B45" s="77" t="s">
        <v>129</v>
      </c>
      <c r="C45" s="89" t="s">
        <v>33</v>
      </c>
      <c r="D45" s="4">
        <v>2021</v>
      </c>
      <c r="E45" s="4">
        <v>57.9</v>
      </c>
      <c r="F45" s="103">
        <v>61.865411620933301</v>
      </c>
      <c r="G45" s="12">
        <v>2030</v>
      </c>
      <c r="H45" s="37">
        <v>60</v>
      </c>
      <c r="I45" s="4">
        <v>2050</v>
      </c>
      <c r="J45" s="13">
        <v>67.260000000000005</v>
      </c>
      <c r="K45" s="71" t="s">
        <v>41</v>
      </c>
      <c r="L45" s="71" t="s">
        <v>230</v>
      </c>
      <c r="M45" s="71" t="s">
        <v>237</v>
      </c>
      <c r="N45" s="80" t="s">
        <v>175</v>
      </c>
      <c r="O45" s="86" t="str">
        <f>EGR2023_MASTER!Q45</f>
        <v>n</v>
      </c>
      <c r="P45" s="91" t="str">
        <f t="shared" ref="P45:P46" si="1">IF(AND($I45="credible",O45="Y"),"stronger","weak")</f>
        <v>weak</v>
      </c>
    </row>
    <row r="46" spans="1:16" ht="15" x14ac:dyDescent="0.25">
      <c r="A46" t="b">
        <f>EXACT(EGR2023_MASTER!A46,'September 2023 Update (WRI)'!B46)</f>
        <v>1</v>
      </c>
      <c r="B46" s="77" t="s">
        <v>131</v>
      </c>
      <c r="C46" s="89" t="s">
        <v>33</v>
      </c>
      <c r="D46" s="4"/>
      <c r="E46" s="4"/>
      <c r="F46" s="103">
        <v>56.948813636333298</v>
      </c>
      <c r="G46" s="12">
        <v>2030</v>
      </c>
      <c r="H46" s="26">
        <v>60</v>
      </c>
      <c r="I46" s="4">
        <v>2045</v>
      </c>
      <c r="J46" s="4">
        <v>48.37</v>
      </c>
      <c r="K46" s="71" t="s">
        <v>74</v>
      </c>
      <c r="L46" s="71" t="s">
        <v>230</v>
      </c>
      <c r="M46" s="71" t="s">
        <v>237</v>
      </c>
      <c r="N46" s="80" t="s">
        <v>175</v>
      </c>
      <c r="O46" s="86" t="str">
        <f>EGR2023_MASTER!Q46</f>
        <v>n</v>
      </c>
      <c r="P46" s="91" t="str">
        <f t="shared" si="1"/>
        <v>weak</v>
      </c>
    </row>
    <row r="47" spans="1:16" ht="15" x14ac:dyDescent="0.25">
      <c r="B47" s="78"/>
      <c r="C47" s="78"/>
      <c r="D47" s="78"/>
      <c r="E47" s="78"/>
      <c r="F47" s="85"/>
      <c r="G47" s="85"/>
      <c r="H47" s="78"/>
      <c r="I47" s="78"/>
      <c r="K47" s="71"/>
      <c r="L47" s="71"/>
    </row>
    <row r="48" spans="1:16" ht="15" x14ac:dyDescent="0.25">
      <c r="B48" s="4"/>
      <c r="C48" s="4"/>
      <c r="D48" s="4"/>
      <c r="E48" s="4"/>
      <c r="F48" s="4"/>
      <c r="G48" s="4"/>
      <c r="H48" s="4"/>
      <c r="I48" s="4"/>
      <c r="J48" s="75"/>
    </row>
    <row r="49" spans="2:11" x14ac:dyDescent="0.2">
      <c r="B49" s="4"/>
      <c r="C49" s="4"/>
      <c r="D49" s="4"/>
      <c r="E49" s="4"/>
      <c r="F49" s="4"/>
      <c r="G49" s="4"/>
      <c r="H49" s="4"/>
      <c r="I49" s="4"/>
      <c r="J49" s="74"/>
      <c r="K49" s="74" t="s">
        <v>228</v>
      </c>
    </row>
    <row r="50" spans="2:11" x14ac:dyDescent="0.2">
      <c r="B50" s="4"/>
      <c r="C50" s="4"/>
      <c r="D50" s="4"/>
      <c r="E50" s="4"/>
      <c r="G50" s="4"/>
      <c r="H50" s="4"/>
      <c r="I50" s="4"/>
      <c r="K50" s="74" t="s">
        <v>226</v>
      </c>
    </row>
    <row r="51" spans="2:11" x14ac:dyDescent="0.2">
      <c r="B51" s="4"/>
      <c r="C51" s="4"/>
      <c r="D51" s="4"/>
      <c r="E51" s="4"/>
      <c r="F51" s="4"/>
      <c r="G51" s="4"/>
      <c r="H51" s="4"/>
      <c r="I51" s="4"/>
      <c r="K51" s="74" t="s">
        <v>227</v>
      </c>
    </row>
    <row r="52" spans="2:11" x14ac:dyDescent="0.2">
      <c r="B52" s="4"/>
      <c r="C52" s="4"/>
      <c r="D52" s="4"/>
      <c r="E52" s="4"/>
      <c r="F52" s="4"/>
      <c r="G52" s="4"/>
      <c r="H52" s="4"/>
      <c r="I52" s="4"/>
      <c r="K52" s="74" t="s">
        <v>231</v>
      </c>
    </row>
    <row r="53" spans="2:11" x14ac:dyDescent="0.2">
      <c r="B53" s="4"/>
      <c r="C53" s="4"/>
      <c r="D53" s="4"/>
      <c r="E53" s="4"/>
      <c r="F53" s="4"/>
      <c r="G53" s="4"/>
      <c r="H53" s="4"/>
      <c r="I53" s="4"/>
    </row>
    <row r="54" spans="2:11" x14ac:dyDescent="0.2">
      <c r="B54" s="4"/>
      <c r="C54" s="4"/>
      <c r="D54" s="4"/>
      <c r="E54" s="4"/>
      <c r="F54" s="4"/>
      <c r="G54" s="4"/>
      <c r="H54" s="4"/>
      <c r="I54" s="4"/>
      <c r="J54" s="74" t="s">
        <v>236</v>
      </c>
      <c r="K54" s="74" t="s">
        <v>239</v>
      </c>
    </row>
    <row r="55" spans="2:11" x14ac:dyDescent="0.2">
      <c r="B55" s="4"/>
      <c r="C55" s="4"/>
      <c r="D55" s="4"/>
      <c r="E55" s="4"/>
      <c r="F55" s="4"/>
      <c r="G55" s="4"/>
      <c r="H55" s="4"/>
      <c r="I55" s="4"/>
    </row>
    <row r="56" spans="2:11" x14ac:dyDescent="0.2">
      <c r="B56" s="4"/>
      <c r="C56" s="4"/>
      <c r="D56" s="4"/>
      <c r="E56" s="4"/>
      <c r="F56" s="4"/>
      <c r="G56" s="4"/>
      <c r="H56" s="4"/>
      <c r="I56" s="4"/>
    </row>
    <row r="57" spans="2:11" x14ac:dyDescent="0.2">
      <c r="B57" s="4"/>
      <c r="C57" s="4"/>
      <c r="D57" s="4"/>
      <c r="E57" s="4"/>
      <c r="F57" s="4"/>
      <c r="G57" s="4"/>
      <c r="H57" s="4"/>
      <c r="I57" s="4"/>
    </row>
    <row r="58" spans="2:11" x14ac:dyDescent="0.2">
      <c r="B58" s="4"/>
      <c r="C58" s="4"/>
      <c r="D58" s="4"/>
      <c r="E58" s="4"/>
      <c r="F58" s="4"/>
      <c r="G58" s="4"/>
      <c r="H58" s="4"/>
      <c r="I58" s="4"/>
    </row>
    <row r="59" spans="2:11" x14ac:dyDescent="0.2">
      <c r="B59" s="4"/>
      <c r="C59" s="4"/>
      <c r="D59" s="4"/>
      <c r="E59" s="4"/>
      <c r="F59" s="4"/>
      <c r="G59" s="4"/>
      <c r="H59" s="4"/>
      <c r="I59" s="4"/>
    </row>
    <row r="60" spans="2:11" x14ac:dyDescent="0.2">
      <c r="B60" s="4"/>
      <c r="C60" s="4"/>
      <c r="D60" s="4"/>
      <c r="E60" s="4"/>
      <c r="F60" s="4"/>
      <c r="G60" s="4"/>
      <c r="H60" s="4"/>
      <c r="I60" s="4"/>
    </row>
    <row r="61" spans="2:11" x14ac:dyDescent="0.2">
      <c r="B61" s="4"/>
      <c r="C61" s="4"/>
      <c r="D61" s="4"/>
      <c r="E61" s="4"/>
      <c r="F61" s="4"/>
      <c r="G61" s="4"/>
      <c r="H61" s="4"/>
      <c r="I61" s="4"/>
    </row>
    <row r="62" spans="2:11" x14ac:dyDescent="0.2">
      <c r="B62" s="4"/>
      <c r="C62" s="4"/>
      <c r="D62" s="4"/>
      <c r="E62" s="4"/>
      <c r="F62" s="4"/>
      <c r="G62" s="4"/>
      <c r="H62" s="4"/>
      <c r="I62" s="4"/>
    </row>
    <row r="63" spans="2:11" x14ac:dyDescent="0.2">
      <c r="B63" s="4"/>
      <c r="C63" s="4"/>
      <c r="D63" s="4"/>
      <c r="E63" s="4"/>
      <c r="F63" s="4"/>
      <c r="G63" s="4"/>
      <c r="H63" s="4"/>
      <c r="I63" s="4"/>
    </row>
    <row r="64" spans="2:11" x14ac:dyDescent="0.2">
      <c r="B64" s="4"/>
      <c r="C64" s="4"/>
      <c r="D64" s="4"/>
      <c r="E64" s="4"/>
      <c r="F64" s="4"/>
      <c r="G64" s="4"/>
      <c r="H64" s="4"/>
      <c r="I64" s="4"/>
    </row>
    <row r="65" spans="2:9" x14ac:dyDescent="0.2">
      <c r="B65" s="4"/>
      <c r="C65" s="4"/>
      <c r="D65" s="4"/>
      <c r="E65" s="4"/>
      <c r="F65" s="4"/>
      <c r="G65" s="4"/>
      <c r="H65" s="4"/>
      <c r="I65" s="4"/>
    </row>
    <row r="66" spans="2:9" x14ac:dyDescent="0.2">
      <c r="B66" s="4"/>
      <c r="C66" s="4"/>
      <c r="D66" s="4"/>
      <c r="E66" s="4"/>
      <c r="F66" s="4"/>
      <c r="G66" s="4"/>
      <c r="H66" s="4"/>
      <c r="I66" s="4"/>
    </row>
    <row r="67" spans="2:9" x14ac:dyDescent="0.2">
      <c r="B67" s="4"/>
      <c r="C67" s="4"/>
      <c r="D67" s="4"/>
      <c r="E67" s="4"/>
      <c r="F67" s="4"/>
      <c r="G67" s="4"/>
      <c r="H67" s="4"/>
      <c r="I67" s="4"/>
    </row>
    <row r="68" spans="2:9" x14ac:dyDescent="0.2">
      <c r="B68" s="4"/>
      <c r="C68" s="4"/>
      <c r="D68" s="4"/>
      <c r="E68" s="4"/>
      <c r="F68" s="4"/>
      <c r="G68" s="4"/>
      <c r="H68" s="4"/>
      <c r="I68" s="4"/>
    </row>
    <row r="69" spans="2:9" x14ac:dyDescent="0.2">
      <c r="B69" s="4"/>
      <c r="C69" s="4"/>
      <c r="D69" s="4"/>
      <c r="E69" s="4"/>
      <c r="F69" s="4"/>
      <c r="G69" s="4"/>
      <c r="H69" s="4"/>
      <c r="I69" s="4"/>
    </row>
    <row r="70" spans="2:9" x14ac:dyDescent="0.2">
      <c r="B70" s="4"/>
      <c r="C70" s="4"/>
      <c r="D70" s="4"/>
      <c r="E70" s="4"/>
      <c r="F70" s="4"/>
      <c r="G70" s="4"/>
      <c r="H70" s="4"/>
      <c r="I70" s="4"/>
    </row>
    <row r="71" spans="2:9" x14ac:dyDescent="0.2">
      <c r="B71" s="4"/>
      <c r="C71" s="4"/>
      <c r="D71" s="4"/>
      <c r="E71" s="4"/>
      <c r="F71" s="4"/>
      <c r="G71" s="4"/>
      <c r="H71" s="4"/>
      <c r="I71" s="4"/>
    </row>
    <row r="72" spans="2:9" x14ac:dyDescent="0.2">
      <c r="B72" s="4"/>
      <c r="C72" s="4"/>
      <c r="D72" s="4"/>
      <c r="E72" s="4"/>
      <c r="F72" s="4"/>
      <c r="G72" s="4"/>
      <c r="H72" s="4"/>
      <c r="I72" s="4"/>
    </row>
    <row r="73" spans="2:9" x14ac:dyDescent="0.2">
      <c r="B73" s="4"/>
      <c r="C73" s="4"/>
      <c r="D73" s="4"/>
      <c r="E73" s="4"/>
      <c r="F73" s="4"/>
      <c r="G73" s="4"/>
      <c r="H73" s="4"/>
      <c r="I73" s="4"/>
    </row>
    <row r="74" spans="2:9" x14ac:dyDescent="0.2">
      <c r="B74" s="4"/>
      <c r="C74" s="4"/>
      <c r="D74" s="4"/>
      <c r="E74" s="4"/>
      <c r="F74" s="4"/>
      <c r="G74" s="4"/>
      <c r="H74" s="4"/>
      <c r="I74" s="4"/>
    </row>
    <row r="75" spans="2:9" x14ac:dyDescent="0.2">
      <c r="B75" s="4"/>
      <c r="C75" s="4"/>
      <c r="D75" s="4"/>
      <c r="E75" s="4"/>
      <c r="F75" s="4"/>
      <c r="G75" s="4"/>
      <c r="H75" s="4"/>
      <c r="I75" s="4"/>
    </row>
    <row r="76" spans="2:9" x14ac:dyDescent="0.2">
      <c r="B76" s="4"/>
      <c r="C76" s="4"/>
      <c r="D76" s="4"/>
      <c r="E76" s="4"/>
      <c r="F76" s="4"/>
      <c r="G76" s="4"/>
      <c r="H76" s="4"/>
      <c r="I76" s="4"/>
    </row>
    <row r="77" spans="2:9" x14ac:dyDescent="0.2">
      <c r="B77" s="4"/>
      <c r="C77" s="4"/>
      <c r="D77" s="4"/>
      <c r="E77" s="4"/>
      <c r="F77" s="4"/>
      <c r="G77" s="4"/>
      <c r="H77" s="4"/>
      <c r="I77" s="4"/>
    </row>
    <row r="78" spans="2:9" x14ac:dyDescent="0.2">
      <c r="B78" s="4"/>
      <c r="C78" s="4"/>
      <c r="D78" s="4"/>
      <c r="E78" s="4"/>
      <c r="F78" s="4"/>
      <c r="G78" s="4"/>
      <c r="H78" s="4"/>
      <c r="I78" s="4"/>
    </row>
    <row r="79" spans="2:9" x14ac:dyDescent="0.2">
      <c r="B79" s="4"/>
      <c r="C79" s="4"/>
      <c r="D79" s="4"/>
      <c r="E79" s="4"/>
      <c r="F79" s="4"/>
      <c r="G79" s="4"/>
      <c r="H79" s="4"/>
      <c r="I79" s="4"/>
    </row>
    <row r="80" spans="2:9" x14ac:dyDescent="0.2">
      <c r="B80" s="4"/>
      <c r="C80" s="4"/>
      <c r="D80" s="4"/>
      <c r="E80" s="4"/>
      <c r="F80" s="4"/>
      <c r="G80" s="4"/>
      <c r="H80" s="4"/>
      <c r="I80" s="4"/>
    </row>
    <row r="81" spans="2:9" x14ac:dyDescent="0.2">
      <c r="B81" s="4"/>
      <c r="C81" s="4"/>
      <c r="D81" s="4"/>
      <c r="E81" s="4"/>
      <c r="F81" s="4"/>
      <c r="G81" s="4"/>
      <c r="H81" s="4"/>
      <c r="I81" s="4"/>
    </row>
    <row r="82" spans="2:9" x14ac:dyDescent="0.2">
      <c r="B82" s="4"/>
      <c r="C82" s="4"/>
      <c r="D82" s="4"/>
      <c r="E82" s="4"/>
      <c r="F82" s="4"/>
      <c r="G82" s="4"/>
      <c r="H82" s="4"/>
      <c r="I82" s="4"/>
    </row>
    <row r="83" spans="2:9" x14ac:dyDescent="0.2">
      <c r="B83" s="4"/>
      <c r="C83" s="4"/>
      <c r="D83" s="4"/>
      <c r="E83" s="4"/>
      <c r="F83" s="4"/>
      <c r="G83" s="4"/>
      <c r="H83" s="4"/>
      <c r="I83" s="4"/>
    </row>
    <row r="84" spans="2:9" x14ac:dyDescent="0.2">
      <c r="B84" s="4"/>
      <c r="C84" s="4"/>
      <c r="D84" s="4"/>
      <c r="E84" s="4"/>
      <c r="F84" s="4"/>
      <c r="G84" s="4"/>
      <c r="H84" s="4"/>
      <c r="I84" s="4"/>
    </row>
    <row r="85" spans="2:9" x14ac:dyDescent="0.2">
      <c r="B85" s="4"/>
      <c r="C85" s="4"/>
      <c r="D85" s="4"/>
      <c r="E85" s="4"/>
      <c r="F85" s="4"/>
      <c r="G85" s="4"/>
      <c r="H85" s="4"/>
      <c r="I85" s="4"/>
    </row>
    <row r="86" spans="2:9" x14ac:dyDescent="0.2">
      <c r="B86" s="4"/>
      <c r="C86" s="4"/>
      <c r="D86" s="4"/>
      <c r="E86" s="4"/>
      <c r="F86" s="4"/>
      <c r="G86" s="4"/>
      <c r="H86" s="4"/>
      <c r="I86" s="4"/>
    </row>
    <row r="87" spans="2:9" x14ac:dyDescent="0.2">
      <c r="B87" s="4"/>
      <c r="C87" s="4"/>
      <c r="D87" s="4"/>
      <c r="E87" s="4"/>
      <c r="F87" s="4"/>
      <c r="G87" s="4"/>
      <c r="H87" s="4"/>
      <c r="I87" s="4"/>
    </row>
    <row r="88" spans="2:9" x14ac:dyDescent="0.2">
      <c r="B88" s="4"/>
      <c r="C88" s="4"/>
      <c r="D88" s="4"/>
      <c r="E88" s="4"/>
      <c r="F88" s="4"/>
      <c r="G88" s="4"/>
      <c r="H88" s="4"/>
      <c r="I88" s="4"/>
    </row>
    <row r="89" spans="2:9" x14ac:dyDescent="0.2">
      <c r="B89" s="4"/>
      <c r="C89" s="4"/>
      <c r="D89" s="4"/>
      <c r="E89" s="4"/>
      <c r="F89" s="4"/>
      <c r="G89" s="4"/>
      <c r="H89" s="4"/>
      <c r="I89" s="4"/>
    </row>
    <row r="90" spans="2:9" x14ac:dyDescent="0.2">
      <c r="B90" s="4"/>
      <c r="C90" s="4"/>
      <c r="D90" s="4"/>
      <c r="E90" s="4"/>
      <c r="F90" s="4"/>
      <c r="G90" s="4"/>
      <c r="H90" s="4"/>
      <c r="I90" s="4"/>
    </row>
    <row r="91" spans="2:9" x14ac:dyDescent="0.2">
      <c r="B91" s="4"/>
      <c r="C91" s="4"/>
      <c r="D91" s="4"/>
      <c r="E91" s="4"/>
      <c r="F91" s="4"/>
      <c r="G91" s="4"/>
      <c r="H91" s="4"/>
      <c r="I91" s="4"/>
    </row>
    <row r="92" spans="2:9" x14ac:dyDescent="0.2">
      <c r="B92" s="4"/>
      <c r="C92" s="4"/>
      <c r="D92" s="4"/>
      <c r="E92" s="4"/>
      <c r="F92" s="4"/>
      <c r="G92" s="4"/>
      <c r="H92" s="4"/>
      <c r="I92" s="4"/>
    </row>
    <row r="93" spans="2:9" x14ac:dyDescent="0.2">
      <c r="B93" s="4"/>
      <c r="C93" s="4"/>
      <c r="D93" s="4"/>
      <c r="E93" s="4"/>
      <c r="F93" s="4"/>
      <c r="G93" s="4"/>
      <c r="H93" s="4"/>
      <c r="I93" s="4"/>
    </row>
    <row r="94" spans="2:9" x14ac:dyDescent="0.2">
      <c r="B94" s="4"/>
      <c r="C94" s="4"/>
      <c r="D94" s="4"/>
      <c r="E94" s="4"/>
      <c r="F94" s="4"/>
      <c r="G94" s="4"/>
      <c r="H94" s="4"/>
      <c r="I94" s="4"/>
    </row>
    <row r="95" spans="2:9" x14ac:dyDescent="0.2">
      <c r="B95" s="4"/>
      <c r="C95" s="4"/>
      <c r="D95" s="4"/>
      <c r="E95" s="4"/>
      <c r="F95" s="4"/>
      <c r="G95" s="4"/>
      <c r="H95" s="4"/>
      <c r="I95" s="4"/>
    </row>
    <row r="96" spans="2:9" x14ac:dyDescent="0.2">
      <c r="B96" s="4"/>
      <c r="C96" s="4"/>
      <c r="D96" s="4"/>
      <c r="E96" s="4"/>
      <c r="F96" s="4"/>
      <c r="G96" s="4"/>
      <c r="H96" s="4"/>
      <c r="I96" s="4"/>
    </row>
    <row r="97" spans="2:9" x14ac:dyDescent="0.2">
      <c r="B97" s="4"/>
      <c r="C97" s="4"/>
      <c r="D97" s="4"/>
      <c r="E97" s="4"/>
      <c r="F97" s="4"/>
      <c r="G97" s="4"/>
      <c r="H97" s="4"/>
      <c r="I97" s="4"/>
    </row>
    <row r="98" spans="2:9" x14ac:dyDescent="0.2">
      <c r="B98" s="4"/>
      <c r="C98" s="4"/>
      <c r="D98" s="4"/>
      <c r="E98" s="4"/>
      <c r="F98" s="4"/>
      <c r="G98" s="4"/>
      <c r="H98" s="4"/>
      <c r="I98" s="4"/>
    </row>
    <row r="99" spans="2:9" x14ac:dyDescent="0.2">
      <c r="B99" s="4"/>
      <c r="C99" s="4"/>
      <c r="D99" s="4"/>
      <c r="E99" s="4"/>
      <c r="F99" s="4"/>
      <c r="G99" s="4"/>
      <c r="H99" s="4"/>
      <c r="I99" s="4"/>
    </row>
    <row r="100" spans="2:9" x14ac:dyDescent="0.2">
      <c r="B100" s="4"/>
      <c r="C100" s="4"/>
      <c r="D100" s="4"/>
      <c r="E100" s="4"/>
      <c r="F100" s="4"/>
      <c r="G100" s="4"/>
      <c r="H100" s="4"/>
      <c r="I100" s="4"/>
    </row>
    <row r="101" spans="2:9" x14ac:dyDescent="0.2">
      <c r="B101" s="4"/>
      <c r="C101" s="4"/>
      <c r="D101" s="4"/>
      <c r="E101" s="4"/>
      <c r="F101" s="4"/>
      <c r="G101" s="4"/>
      <c r="H101" s="4"/>
      <c r="I101" s="4"/>
    </row>
    <row r="102" spans="2:9" x14ac:dyDescent="0.2">
      <c r="B102" s="4"/>
      <c r="C102" s="4"/>
      <c r="D102" s="4"/>
      <c r="E102" s="4"/>
      <c r="F102" s="4"/>
      <c r="G102" s="4"/>
      <c r="H102" s="4"/>
      <c r="I102" s="4"/>
    </row>
    <row r="103" spans="2:9" x14ac:dyDescent="0.2">
      <c r="B103" s="4"/>
      <c r="C103" s="4"/>
      <c r="D103" s="4"/>
      <c r="E103" s="4"/>
      <c r="F103" s="4"/>
      <c r="G103" s="4"/>
      <c r="H103" s="4"/>
      <c r="I103" s="4"/>
    </row>
    <row r="104" spans="2:9" x14ac:dyDescent="0.2">
      <c r="B104" s="4"/>
      <c r="C104" s="4"/>
      <c r="D104" s="4"/>
      <c r="E104" s="4"/>
      <c r="F104" s="4"/>
      <c r="G104" s="4"/>
      <c r="H104" s="4"/>
      <c r="I104" s="4"/>
    </row>
    <row r="105" spans="2:9" x14ac:dyDescent="0.2">
      <c r="B105" s="4"/>
      <c r="C105" s="4"/>
      <c r="D105" s="4"/>
      <c r="E105" s="4"/>
      <c r="F105" s="4"/>
      <c r="G105" s="4"/>
      <c r="H105" s="4"/>
      <c r="I105" s="4"/>
    </row>
    <row r="106" spans="2:9" x14ac:dyDescent="0.2">
      <c r="B106" s="4"/>
      <c r="C106" s="4"/>
      <c r="D106" s="4"/>
      <c r="E106" s="4"/>
      <c r="F106" s="4"/>
      <c r="G106" s="4"/>
      <c r="H106" s="4"/>
      <c r="I106" s="4"/>
    </row>
    <row r="107" spans="2:9" x14ac:dyDescent="0.2">
      <c r="B107" s="4"/>
      <c r="C107" s="4"/>
      <c r="D107" s="4"/>
      <c r="E107" s="4"/>
      <c r="F107" s="4"/>
      <c r="G107" s="4"/>
      <c r="H107" s="4"/>
      <c r="I107" s="4"/>
    </row>
    <row r="108" spans="2:9" x14ac:dyDescent="0.2">
      <c r="B108" s="4"/>
      <c r="C108" s="4"/>
      <c r="D108" s="4"/>
      <c r="E108" s="4"/>
      <c r="F108" s="4"/>
      <c r="G108" s="4"/>
      <c r="H108" s="4"/>
      <c r="I108" s="4"/>
    </row>
    <row r="109" spans="2:9" x14ac:dyDescent="0.2">
      <c r="B109" s="4"/>
      <c r="C109" s="4"/>
      <c r="D109" s="4"/>
      <c r="E109" s="4"/>
      <c r="F109" s="4"/>
      <c r="G109" s="4"/>
      <c r="H109" s="4"/>
      <c r="I109" s="4"/>
    </row>
    <row r="110" spans="2:9" x14ac:dyDescent="0.2">
      <c r="B110" s="4"/>
      <c r="C110" s="4"/>
      <c r="D110" s="4"/>
      <c r="E110" s="4"/>
      <c r="F110" s="4"/>
      <c r="G110" s="4"/>
      <c r="H110" s="4"/>
      <c r="I110" s="4"/>
    </row>
    <row r="111" spans="2:9" x14ac:dyDescent="0.2">
      <c r="B111" s="4"/>
      <c r="C111" s="4"/>
      <c r="D111" s="4"/>
      <c r="E111" s="4"/>
      <c r="F111" s="4"/>
      <c r="G111" s="4"/>
      <c r="H111" s="4"/>
      <c r="I111" s="4"/>
    </row>
    <row r="112" spans="2:9" x14ac:dyDescent="0.2">
      <c r="B112" s="4"/>
      <c r="C112" s="4"/>
      <c r="D112" s="4"/>
      <c r="E112" s="4"/>
      <c r="F112" s="4"/>
      <c r="G112" s="4"/>
      <c r="H112" s="4"/>
      <c r="I112" s="4"/>
    </row>
    <row r="113" spans="2:9" x14ac:dyDescent="0.2">
      <c r="B113" s="4"/>
      <c r="C113" s="4"/>
      <c r="D113" s="4"/>
      <c r="E113" s="4"/>
      <c r="F113" s="4"/>
      <c r="G113" s="4"/>
      <c r="H113" s="4"/>
      <c r="I113" s="4"/>
    </row>
    <row r="114" spans="2:9" x14ac:dyDescent="0.2">
      <c r="B114" s="4"/>
      <c r="C114" s="4"/>
      <c r="D114" s="4"/>
      <c r="E114" s="4"/>
      <c r="F114" s="4"/>
      <c r="G114" s="4"/>
      <c r="H114" s="4"/>
      <c r="I114" s="4"/>
    </row>
    <row r="115" spans="2:9" x14ac:dyDescent="0.2">
      <c r="B115" s="4"/>
      <c r="C115" s="4"/>
      <c r="D115" s="4"/>
      <c r="E115" s="4"/>
      <c r="F115" s="4"/>
      <c r="G115" s="4"/>
      <c r="H115" s="4"/>
      <c r="I115" s="4"/>
    </row>
    <row r="116" spans="2:9" x14ac:dyDescent="0.2">
      <c r="B116" s="4"/>
      <c r="C116" s="4"/>
      <c r="D116" s="4"/>
      <c r="E116" s="4"/>
      <c r="F116" s="4"/>
      <c r="G116" s="4"/>
      <c r="H116" s="4"/>
      <c r="I116" s="4"/>
    </row>
    <row r="117" spans="2:9" x14ac:dyDescent="0.2">
      <c r="B117" s="4"/>
      <c r="C117" s="4"/>
      <c r="D117" s="4"/>
      <c r="E117" s="4"/>
      <c r="F117" s="4"/>
      <c r="G117" s="4"/>
      <c r="H117" s="4"/>
      <c r="I117" s="4"/>
    </row>
    <row r="118" spans="2:9" x14ac:dyDescent="0.2">
      <c r="B118" s="4"/>
      <c r="C118" s="4"/>
      <c r="D118" s="4"/>
      <c r="E118" s="4"/>
      <c r="F118" s="4"/>
      <c r="G118" s="4"/>
      <c r="H118" s="4"/>
      <c r="I118" s="4"/>
    </row>
    <row r="119" spans="2:9" x14ac:dyDescent="0.2">
      <c r="B119" s="4"/>
      <c r="C119" s="4"/>
      <c r="D119" s="4"/>
      <c r="E119" s="4"/>
      <c r="F119" s="4"/>
      <c r="G119" s="4"/>
      <c r="H119" s="4"/>
      <c r="I119" s="4"/>
    </row>
    <row r="120" spans="2:9" x14ac:dyDescent="0.2">
      <c r="B120" s="4"/>
      <c r="C120" s="4"/>
      <c r="D120" s="4"/>
      <c r="E120" s="4"/>
      <c r="F120" s="4"/>
      <c r="G120" s="4"/>
      <c r="H120" s="4"/>
      <c r="I120" s="4"/>
    </row>
    <row r="121" spans="2:9" x14ac:dyDescent="0.2">
      <c r="B121" s="4"/>
      <c r="C121" s="4"/>
      <c r="D121" s="4"/>
      <c r="E121" s="4"/>
      <c r="F121" s="4"/>
      <c r="G121" s="4"/>
      <c r="H121" s="4"/>
      <c r="I121" s="4"/>
    </row>
    <row r="122" spans="2:9" x14ac:dyDescent="0.2">
      <c r="B122" s="4"/>
      <c r="C122" s="4"/>
      <c r="D122" s="4"/>
      <c r="E122" s="4"/>
      <c r="F122" s="4"/>
      <c r="G122" s="4"/>
      <c r="H122" s="4"/>
      <c r="I122" s="4"/>
    </row>
    <row r="123" spans="2:9" x14ac:dyDescent="0.2">
      <c r="B123" s="4"/>
      <c r="C123" s="4"/>
      <c r="D123" s="4"/>
      <c r="E123" s="4"/>
      <c r="F123" s="4"/>
      <c r="G123" s="4"/>
      <c r="H123" s="4"/>
      <c r="I123" s="4"/>
    </row>
    <row r="124" spans="2:9" x14ac:dyDescent="0.2">
      <c r="B124" s="4"/>
      <c r="C124" s="4"/>
      <c r="D124" s="4"/>
      <c r="E124" s="4"/>
      <c r="F124" s="4"/>
      <c r="G124" s="4"/>
      <c r="H124" s="4"/>
      <c r="I124" s="4"/>
    </row>
    <row r="125" spans="2:9" x14ac:dyDescent="0.2">
      <c r="B125" s="4"/>
      <c r="C125" s="4"/>
      <c r="D125" s="4"/>
      <c r="E125" s="4"/>
      <c r="F125" s="4"/>
      <c r="G125" s="4"/>
      <c r="H125" s="4"/>
      <c r="I125" s="4"/>
    </row>
    <row r="126" spans="2:9" x14ac:dyDescent="0.2">
      <c r="B126" s="4"/>
      <c r="C126" s="4"/>
      <c r="D126" s="4"/>
      <c r="E126" s="4"/>
      <c r="F126" s="4"/>
      <c r="G126" s="4"/>
      <c r="H126" s="4"/>
      <c r="I126" s="4"/>
    </row>
    <row r="127" spans="2:9" x14ac:dyDescent="0.2">
      <c r="B127" s="4"/>
      <c r="C127" s="4"/>
      <c r="D127" s="4"/>
      <c r="E127" s="4"/>
      <c r="F127" s="4"/>
      <c r="G127" s="4"/>
      <c r="H127" s="4"/>
      <c r="I127" s="4"/>
    </row>
    <row r="128" spans="2:9" x14ac:dyDescent="0.2">
      <c r="B128" s="4"/>
      <c r="C128" s="4"/>
      <c r="D128" s="4"/>
      <c r="E128" s="4"/>
      <c r="F128" s="4"/>
      <c r="G128" s="4"/>
      <c r="H128" s="4"/>
      <c r="I128" s="4"/>
    </row>
    <row r="129" spans="2:9" x14ac:dyDescent="0.2">
      <c r="B129" s="4"/>
      <c r="C129" s="4"/>
      <c r="D129" s="4"/>
      <c r="E129" s="4"/>
      <c r="F129" s="4"/>
      <c r="G129" s="4"/>
      <c r="H129" s="4"/>
      <c r="I129" s="4"/>
    </row>
    <row r="130" spans="2:9" x14ac:dyDescent="0.2">
      <c r="B130" s="4"/>
      <c r="C130" s="4"/>
      <c r="D130" s="4"/>
      <c r="E130" s="4"/>
      <c r="F130" s="4"/>
      <c r="G130" s="4"/>
      <c r="H130" s="4"/>
      <c r="I130" s="4"/>
    </row>
    <row r="131" spans="2:9" x14ac:dyDescent="0.2">
      <c r="B131" s="4"/>
      <c r="C131" s="4"/>
      <c r="D131" s="4"/>
      <c r="E131" s="4"/>
      <c r="F131" s="4"/>
      <c r="G131" s="4"/>
      <c r="H131" s="4"/>
      <c r="I131" s="4"/>
    </row>
    <row r="132" spans="2:9" x14ac:dyDescent="0.2">
      <c r="B132" s="4"/>
      <c r="C132" s="4"/>
      <c r="D132" s="4"/>
      <c r="E132" s="4"/>
      <c r="F132" s="4"/>
      <c r="G132" s="4"/>
      <c r="H132" s="4"/>
      <c r="I132" s="4"/>
    </row>
    <row r="133" spans="2:9" x14ac:dyDescent="0.2">
      <c r="B133" s="4"/>
      <c r="C133" s="4"/>
      <c r="D133" s="4"/>
      <c r="E133" s="4"/>
      <c r="F133" s="4"/>
      <c r="G133" s="4"/>
      <c r="H133" s="4"/>
      <c r="I133" s="4"/>
    </row>
    <row r="134" spans="2:9" x14ac:dyDescent="0.2">
      <c r="B134" s="4"/>
      <c r="C134" s="4"/>
      <c r="D134" s="4"/>
      <c r="E134" s="4"/>
      <c r="F134" s="4"/>
      <c r="G134" s="4"/>
      <c r="H134" s="4"/>
      <c r="I134" s="4"/>
    </row>
    <row r="135" spans="2:9" x14ac:dyDescent="0.2">
      <c r="B135" s="4"/>
      <c r="C135" s="4"/>
      <c r="D135" s="4"/>
      <c r="E135" s="4"/>
      <c r="F135" s="4"/>
      <c r="G135" s="4"/>
      <c r="H135" s="4"/>
      <c r="I135" s="4"/>
    </row>
    <row r="136" spans="2:9" x14ac:dyDescent="0.2">
      <c r="B136" s="4"/>
      <c r="C136" s="4"/>
      <c r="D136" s="4"/>
      <c r="E136" s="4"/>
      <c r="F136" s="4"/>
      <c r="G136" s="4"/>
      <c r="H136" s="4"/>
      <c r="I136" s="4"/>
    </row>
    <row r="137" spans="2:9" x14ac:dyDescent="0.2">
      <c r="B137" s="4"/>
      <c r="C137" s="4"/>
      <c r="D137" s="4"/>
      <c r="E137" s="4"/>
      <c r="F137" s="4"/>
      <c r="G137" s="4"/>
      <c r="H137" s="4"/>
      <c r="I137" s="4"/>
    </row>
    <row r="138" spans="2:9" x14ac:dyDescent="0.2">
      <c r="B138" s="4"/>
      <c r="C138" s="4"/>
      <c r="D138" s="4"/>
      <c r="E138" s="4"/>
      <c r="F138" s="4"/>
      <c r="G138" s="4"/>
      <c r="H138" s="4"/>
      <c r="I138" s="4"/>
    </row>
    <row r="139" spans="2:9" x14ac:dyDescent="0.2">
      <c r="B139" s="4"/>
      <c r="C139" s="4"/>
      <c r="D139" s="4"/>
      <c r="E139" s="4"/>
      <c r="F139" s="4"/>
      <c r="G139" s="4"/>
      <c r="H139" s="4"/>
      <c r="I139" s="4"/>
    </row>
    <row r="140" spans="2:9" x14ac:dyDescent="0.2">
      <c r="B140" s="4"/>
      <c r="C140" s="4"/>
      <c r="D140" s="4"/>
      <c r="E140" s="4"/>
      <c r="F140" s="4"/>
      <c r="G140" s="4"/>
      <c r="H140" s="4"/>
      <c r="I140" s="4"/>
    </row>
    <row r="141" spans="2:9" x14ac:dyDescent="0.2">
      <c r="B141" s="4"/>
      <c r="C141" s="4"/>
      <c r="D141" s="4"/>
      <c r="E141" s="4"/>
      <c r="F141" s="4"/>
      <c r="G141" s="4"/>
      <c r="H141" s="4"/>
      <c r="I141" s="4"/>
    </row>
    <row r="142" spans="2:9" x14ac:dyDescent="0.2">
      <c r="B142" s="4"/>
      <c r="C142" s="4"/>
      <c r="D142" s="4"/>
      <c r="E142" s="4"/>
      <c r="F142" s="4"/>
      <c r="G142" s="4"/>
      <c r="H142" s="4"/>
      <c r="I142" s="4"/>
    </row>
    <row r="143" spans="2:9" x14ac:dyDescent="0.2">
      <c r="B143" s="4"/>
      <c r="C143" s="4"/>
      <c r="D143" s="4"/>
      <c r="E143" s="4"/>
      <c r="F143" s="4"/>
      <c r="G143" s="4"/>
      <c r="H143" s="4"/>
      <c r="I143" s="4"/>
    </row>
    <row r="144" spans="2:9" x14ac:dyDescent="0.2">
      <c r="B144" s="4"/>
      <c r="C144" s="4"/>
      <c r="D144" s="4"/>
      <c r="E144" s="4"/>
      <c r="F144" s="4"/>
      <c r="G144" s="4"/>
      <c r="H144" s="4"/>
      <c r="I144" s="4"/>
    </row>
    <row r="145" spans="2:9" x14ac:dyDescent="0.2">
      <c r="B145" s="4"/>
      <c r="C145" s="4"/>
      <c r="D145" s="4"/>
      <c r="E145" s="4"/>
      <c r="F145" s="4"/>
      <c r="G145" s="4"/>
      <c r="H145" s="4"/>
      <c r="I145" s="4"/>
    </row>
    <row r="146" spans="2:9" x14ac:dyDescent="0.2">
      <c r="B146" s="4"/>
      <c r="C146" s="4"/>
      <c r="D146" s="4"/>
      <c r="E146" s="4"/>
      <c r="F146" s="4"/>
      <c r="G146" s="4"/>
      <c r="H146" s="4"/>
      <c r="I146" s="4"/>
    </row>
    <row r="147" spans="2:9" x14ac:dyDescent="0.2">
      <c r="B147" s="4"/>
      <c r="C147" s="4"/>
      <c r="D147" s="4"/>
      <c r="E147" s="4"/>
      <c r="F147" s="4"/>
      <c r="G147" s="4"/>
      <c r="H147" s="4"/>
      <c r="I147" s="4"/>
    </row>
    <row r="148" spans="2:9" x14ac:dyDescent="0.2">
      <c r="B148" s="4"/>
      <c r="C148" s="4"/>
      <c r="D148" s="4"/>
      <c r="E148" s="4"/>
      <c r="F148" s="4"/>
      <c r="G148" s="4"/>
      <c r="H148" s="4"/>
      <c r="I148" s="4"/>
    </row>
    <row r="149" spans="2:9" x14ac:dyDescent="0.2">
      <c r="B149" s="4"/>
      <c r="C149" s="4"/>
      <c r="D149" s="4"/>
      <c r="E149" s="4"/>
      <c r="F149" s="4"/>
      <c r="G149" s="4"/>
      <c r="H149" s="4"/>
      <c r="I149" s="4"/>
    </row>
    <row r="150" spans="2:9" x14ac:dyDescent="0.2">
      <c r="B150" s="4"/>
      <c r="C150" s="4"/>
      <c r="D150" s="4"/>
      <c r="E150" s="4"/>
      <c r="F150" s="4"/>
      <c r="G150" s="4"/>
      <c r="H150" s="4"/>
      <c r="I150" s="4"/>
    </row>
    <row r="151" spans="2:9" x14ac:dyDescent="0.2">
      <c r="B151" s="4"/>
      <c r="C151" s="4"/>
      <c r="D151" s="4"/>
      <c r="E151" s="4"/>
      <c r="F151" s="4"/>
      <c r="G151" s="4"/>
      <c r="H151" s="4"/>
      <c r="I151" s="4"/>
    </row>
    <row r="152" spans="2:9" x14ac:dyDescent="0.2">
      <c r="B152" s="4"/>
      <c r="C152" s="4"/>
      <c r="D152" s="4"/>
      <c r="E152" s="4"/>
      <c r="F152" s="4"/>
      <c r="G152" s="4"/>
      <c r="H152" s="4"/>
      <c r="I152" s="4"/>
    </row>
    <row r="153" spans="2:9" x14ac:dyDescent="0.2">
      <c r="B153" s="4"/>
      <c r="C153" s="4"/>
      <c r="D153" s="4"/>
      <c r="E153" s="4"/>
      <c r="F153" s="4"/>
      <c r="G153" s="4"/>
      <c r="H153" s="4"/>
      <c r="I153" s="4"/>
    </row>
    <row r="154" spans="2:9" x14ac:dyDescent="0.2">
      <c r="B154" s="4"/>
      <c r="C154" s="4"/>
      <c r="D154" s="4"/>
      <c r="E154" s="4"/>
      <c r="F154" s="4"/>
      <c r="G154" s="4"/>
      <c r="H154" s="4"/>
      <c r="I154" s="4"/>
    </row>
    <row r="155" spans="2:9" x14ac:dyDescent="0.2">
      <c r="B155" s="4"/>
      <c r="C155" s="4"/>
      <c r="D155" s="4"/>
      <c r="E155" s="4"/>
      <c r="F155" s="4"/>
      <c r="G155" s="4"/>
      <c r="H155" s="4"/>
      <c r="I155" s="4"/>
    </row>
    <row r="156" spans="2:9" x14ac:dyDescent="0.2">
      <c r="B156" s="4"/>
      <c r="C156" s="4"/>
      <c r="D156" s="4"/>
      <c r="E156" s="4"/>
      <c r="F156" s="4"/>
      <c r="G156" s="4"/>
      <c r="H156" s="4"/>
      <c r="I156" s="4"/>
    </row>
    <row r="157" spans="2:9" x14ac:dyDescent="0.2">
      <c r="B157" s="4"/>
      <c r="C157" s="4"/>
      <c r="D157" s="4"/>
      <c r="E157" s="4"/>
      <c r="F157" s="4"/>
      <c r="G157" s="4"/>
      <c r="H157" s="4"/>
      <c r="I157" s="4"/>
    </row>
    <row r="158" spans="2:9" x14ac:dyDescent="0.2">
      <c r="B158" s="4"/>
      <c r="C158" s="4"/>
      <c r="D158" s="4"/>
      <c r="E158" s="4"/>
      <c r="F158" s="4"/>
      <c r="G158" s="4"/>
      <c r="H158" s="4"/>
      <c r="I158" s="4"/>
    </row>
    <row r="159" spans="2:9" x14ac:dyDescent="0.2">
      <c r="B159" s="4"/>
      <c r="C159" s="4"/>
      <c r="D159" s="4"/>
      <c r="E159" s="4"/>
      <c r="F159" s="4"/>
      <c r="G159" s="4"/>
      <c r="H159" s="4"/>
      <c r="I159" s="4"/>
    </row>
    <row r="160" spans="2:9" x14ac:dyDescent="0.2">
      <c r="B160" s="4"/>
      <c r="C160" s="4"/>
      <c r="D160" s="4"/>
      <c r="E160" s="4"/>
      <c r="F160" s="4"/>
      <c r="G160" s="4"/>
      <c r="H160" s="4"/>
      <c r="I160" s="4"/>
    </row>
    <row r="161" spans="2:9" x14ac:dyDescent="0.2">
      <c r="B161" s="4"/>
      <c r="C161" s="4"/>
      <c r="D161" s="4"/>
      <c r="E161" s="4"/>
      <c r="F161" s="4"/>
      <c r="G161" s="4"/>
      <c r="H161" s="4"/>
      <c r="I161" s="4"/>
    </row>
    <row r="162" spans="2:9" x14ac:dyDescent="0.2">
      <c r="B162" s="4"/>
      <c r="C162" s="4"/>
      <c r="D162" s="4"/>
      <c r="E162" s="4"/>
      <c r="F162" s="4"/>
      <c r="G162" s="4"/>
      <c r="H162" s="4"/>
      <c r="I162" s="4"/>
    </row>
    <row r="163" spans="2:9" x14ac:dyDescent="0.2">
      <c r="B163" s="4"/>
      <c r="C163" s="4"/>
      <c r="D163" s="4"/>
      <c r="E163" s="4"/>
      <c r="F163" s="4"/>
      <c r="G163" s="4"/>
      <c r="H163" s="4"/>
      <c r="I163" s="4"/>
    </row>
    <row r="164" spans="2:9" x14ac:dyDescent="0.2">
      <c r="B164" s="4"/>
      <c r="C164" s="4"/>
      <c r="D164" s="4"/>
      <c r="E164" s="4"/>
      <c r="F164" s="4"/>
      <c r="G164" s="4"/>
      <c r="H164" s="4"/>
      <c r="I164" s="4"/>
    </row>
    <row r="165" spans="2:9" x14ac:dyDescent="0.2">
      <c r="B165" s="4"/>
      <c r="C165" s="4"/>
      <c r="D165" s="4"/>
      <c r="E165" s="4"/>
      <c r="F165" s="4"/>
      <c r="G165" s="4"/>
      <c r="H165" s="4"/>
      <c r="I165" s="4"/>
    </row>
    <row r="166" spans="2:9" x14ac:dyDescent="0.2">
      <c r="B166" s="4"/>
      <c r="C166" s="4"/>
      <c r="D166" s="4"/>
      <c r="E166" s="4"/>
      <c r="F166" s="4"/>
      <c r="G166" s="4"/>
      <c r="H166" s="4"/>
      <c r="I166" s="4"/>
    </row>
    <row r="167" spans="2:9" x14ac:dyDescent="0.2">
      <c r="B167" s="4"/>
      <c r="C167" s="4"/>
      <c r="D167" s="4"/>
      <c r="E167" s="4"/>
      <c r="F167" s="4"/>
      <c r="G167" s="4"/>
      <c r="H167" s="4"/>
      <c r="I167" s="4"/>
    </row>
    <row r="168" spans="2:9" x14ac:dyDescent="0.2">
      <c r="B168" s="4"/>
      <c r="C168" s="4"/>
      <c r="D168" s="4"/>
      <c r="E168" s="4"/>
      <c r="F168" s="4"/>
      <c r="G168" s="4"/>
      <c r="H168" s="4"/>
      <c r="I168" s="4"/>
    </row>
    <row r="169" spans="2:9" x14ac:dyDescent="0.2">
      <c r="B169" s="4"/>
      <c r="C169" s="4"/>
      <c r="D169" s="4"/>
      <c r="E169" s="4"/>
      <c r="F169" s="4"/>
      <c r="G169" s="4"/>
      <c r="H169" s="4"/>
      <c r="I169" s="4"/>
    </row>
    <row r="170" spans="2:9" x14ac:dyDescent="0.2">
      <c r="B170" s="4"/>
      <c r="C170" s="4"/>
      <c r="D170" s="4"/>
      <c r="E170" s="4"/>
      <c r="F170" s="4"/>
      <c r="G170" s="4"/>
      <c r="H170" s="4"/>
      <c r="I170" s="4"/>
    </row>
    <row r="171" spans="2:9" x14ac:dyDescent="0.2">
      <c r="B171" s="4"/>
      <c r="C171" s="4"/>
      <c r="D171" s="4"/>
      <c r="E171" s="4"/>
      <c r="F171" s="4"/>
      <c r="G171" s="4"/>
      <c r="H171" s="4"/>
      <c r="I171" s="4"/>
    </row>
    <row r="172" spans="2:9" x14ac:dyDescent="0.2">
      <c r="B172" s="4"/>
      <c r="C172" s="4"/>
      <c r="D172" s="4"/>
      <c r="E172" s="4"/>
      <c r="F172" s="4"/>
      <c r="G172" s="4"/>
      <c r="H172" s="4"/>
      <c r="I172" s="4"/>
    </row>
    <row r="173" spans="2:9" x14ac:dyDescent="0.2">
      <c r="B173" s="4"/>
      <c r="C173" s="4"/>
      <c r="D173" s="4"/>
      <c r="E173" s="4"/>
      <c r="F173" s="4"/>
      <c r="G173" s="4"/>
      <c r="H173" s="4"/>
      <c r="I173" s="4"/>
    </row>
    <row r="174" spans="2:9" x14ac:dyDescent="0.2">
      <c r="B174" s="4"/>
      <c r="C174" s="4"/>
      <c r="D174" s="4"/>
      <c r="E174" s="4"/>
      <c r="F174" s="4"/>
      <c r="G174" s="4"/>
      <c r="H174" s="4"/>
      <c r="I174" s="4"/>
    </row>
    <row r="175" spans="2:9" x14ac:dyDescent="0.2">
      <c r="B175" s="4"/>
      <c r="C175" s="4"/>
      <c r="D175" s="4"/>
      <c r="E175" s="4"/>
      <c r="F175" s="4"/>
      <c r="G175" s="4"/>
      <c r="H175" s="4"/>
      <c r="I175" s="4"/>
    </row>
    <row r="176" spans="2:9" x14ac:dyDescent="0.2">
      <c r="B176" s="4"/>
      <c r="C176" s="4"/>
      <c r="D176" s="4"/>
      <c r="E176" s="4"/>
      <c r="F176" s="4"/>
      <c r="G176" s="4"/>
      <c r="H176" s="4"/>
      <c r="I176" s="4"/>
    </row>
    <row r="177" spans="2:9" x14ac:dyDescent="0.2">
      <c r="B177" s="4"/>
      <c r="C177" s="4"/>
      <c r="D177" s="4"/>
      <c r="E177" s="4"/>
      <c r="F177" s="4"/>
      <c r="G177" s="4"/>
      <c r="H177" s="4"/>
      <c r="I177" s="4"/>
    </row>
    <row r="178" spans="2:9" x14ac:dyDescent="0.2">
      <c r="B178" s="4"/>
      <c r="C178" s="4"/>
      <c r="D178" s="4"/>
      <c r="E178" s="4"/>
      <c r="F178" s="4"/>
      <c r="G178" s="4"/>
      <c r="H178" s="4"/>
      <c r="I178" s="4"/>
    </row>
    <row r="179" spans="2:9" x14ac:dyDescent="0.2">
      <c r="B179" s="4"/>
      <c r="C179" s="4"/>
      <c r="D179" s="4"/>
      <c r="E179" s="4"/>
      <c r="F179" s="4"/>
      <c r="G179" s="4"/>
      <c r="H179" s="4"/>
      <c r="I179" s="4"/>
    </row>
    <row r="180" spans="2:9" x14ac:dyDescent="0.2">
      <c r="B180" s="4"/>
      <c r="C180" s="4"/>
      <c r="D180" s="4"/>
      <c r="E180" s="4"/>
      <c r="F180" s="4"/>
      <c r="G180" s="4"/>
      <c r="H180" s="4"/>
      <c r="I180" s="4"/>
    </row>
    <row r="181" spans="2:9" x14ac:dyDescent="0.2">
      <c r="B181" s="4"/>
      <c r="C181" s="4"/>
      <c r="D181" s="4"/>
      <c r="E181" s="4"/>
      <c r="F181" s="4"/>
      <c r="G181" s="4"/>
      <c r="H181" s="4"/>
      <c r="I181" s="4"/>
    </row>
    <row r="182" spans="2:9" x14ac:dyDescent="0.2">
      <c r="B182" s="4"/>
      <c r="C182" s="4"/>
      <c r="D182" s="4"/>
      <c r="E182" s="4"/>
      <c r="F182" s="4"/>
      <c r="G182" s="4"/>
      <c r="H182" s="4"/>
      <c r="I182" s="4"/>
    </row>
    <row r="183" spans="2:9" x14ac:dyDescent="0.2">
      <c r="B183" s="4"/>
      <c r="C183" s="4"/>
      <c r="D183" s="4"/>
      <c r="E183" s="4"/>
      <c r="F183" s="4"/>
      <c r="G183" s="4"/>
      <c r="H183" s="4"/>
      <c r="I183" s="4"/>
    </row>
    <row r="184" spans="2:9" x14ac:dyDescent="0.2">
      <c r="B184" s="4"/>
      <c r="C184" s="4"/>
      <c r="D184" s="4"/>
      <c r="E184" s="4"/>
      <c r="F184" s="4"/>
      <c r="G184" s="4"/>
      <c r="H184" s="4"/>
      <c r="I184" s="4"/>
    </row>
    <row r="185" spans="2:9" x14ac:dyDescent="0.2">
      <c r="B185" s="4"/>
      <c r="C185" s="4"/>
      <c r="D185" s="4"/>
      <c r="E185" s="4"/>
      <c r="F185" s="4"/>
      <c r="G185" s="4"/>
      <c r="H185" s="4"/>
      <c r="I185" s="4"/>
    </row>
    <row r="186" spans="2:9" x14ac:dyDescent="0.2">
      <c r="B186" s="4"/>
      <c r="C186" s="4"/>
      <c r="D186" s="4"/>
      <c r="E186" s="4"/>
      <c r="F186" s="4"/>
      <c r="G186" s="4"/>
      <c r="H186" s="4"/>
      <c r="I186" s="4"/>
    </row>
    <row r="187" spans="2:9" x14ac:dyDescent="0.2">
      <c r="B187" s="4"/>
      <c r="C187" s="4"/>
      <c r="D187" s="4"/>
      <c r="E187" s="4"/>
      <c r="F187" s="4"/>
      <c r="G187" s="4"/>
      <c r="H187" s="4"/>
      <c r="I187" s="4"/>
    </row>
    <row r="188" spans="2:9" x14ac:dyDescent="0.2">
      <c r="B188" s="4"/>
      <c r="C188" s="4"/>
      <c r="D188" s="4"/>
      <c r="E188" s="4"/>
      <c r="F188" s="4"/>
      <c r="G188" s="4"/>
      <c r="H188" s="4"/>
      <c r="I188" s="4"/>
    </row>
    <row r="189" spans="2:9" x14ac:dyDescent="0.2">
      <c r="B189" s="4"/>
      <c r="C189" s="4"/>
      <c r="D189" s="4"/>
      <c r="E189" s="4"/>
      <c r="F189" s="4"/>
      <c r="G189" s="4"/>
      <c r="H189" s="4"/>
      <c r="I189" s="4"/>
    </row>
    <row r="190" spans="2:9" x14ac:dyDescent="0.2">
      <c r="B190" s="4"/>
      <c r="C190" s="4"/>
      <c r="D190" s="4"/>
      <c r="E190" s="4"/>
      <c r="F190" s="4"/>
      <c r="G190" s="4"/>
      <c r="H190" s="4"/>
      <c r="I190" s="4"/>
    </row>
    <row r="191" spans="2:9" x14ac:dyDescent="0.2">
      <c r="B191" s="4"/>
      <c r="C191" s="4"/>
      <c r="D191" s="4"/>
      <c r="E191" s="4"/>
      <c r="F191" s="4"/>
      <c r="G191" s="4"/>
      <c r="H191" s="4"/>
      <c r="I191" s="4"/>
    </row>
    <row r="192" spans="2:9" x14ac:dyDescent="0.2">
      <c r="B192" s="4"/>
      <c r="C192" s="4"/>
      <c r="D192" s="4"/>
      <c r="E192" s="4"/>
      <c r="F192" s="4"/>
      <c r="G192" s="4"/>
      <c r="H192" s="4"/>
      <c r="I192" s="4"/>
    </row>
    <row r="193" spans="2:9" x14ac:dyDescent="0.2">
      <c r="B193" s="4"/>
      <c r="C193" s="4"/>
      <c r="D193" s="4"/>
      <c r="E193" s="4"/>
      <c r="F193" s="4"/>
      <c r="G193" s="4"/>
      <c r="H193" s="4"/>
      <c r="I193" s="4"/>
    </row>
    <row r="194" spans="2:9" x14ac:dyDescent="0.2">
      <c r="B194" s="4"/>
      <c r="C194" s="4"/>
      <c r="D194" s="4"/>
      <c r="E194" s="4"/>
      <c r="F194" s="4"/>
      <c r="G194" s="4"/>
      <c r="H194" s="4"/>
      <c r="I194" s="4"/>
    </row>
    <row r="195" spans="2:9" x14ac:dyDescent="0.2">
      <c r="B195" s="4"/>
      <c r="C195" s="4"/>
      <c r="D195" s="4"/>
      <c r="E195" s="4"/>
      <c r="F195" s="4"/>
      <c r="G195" s="4"/>
      <c r="H195" s="4"/>
      <c r="I195" s="4"/>
    </row>
    <row r="196" spans="2:9" x14ac:dyDescent="0.2">
      <c r="B196" s="4"/>
      <c r="C196" s="4"/>
      <c r="D196" s="4"/>
      <c r="E196" s="4"/>
      <c r="F196" s="4"/>
      <c r="G196" s="4"/>
      <c r="H196" s="4"/>
      <c r="I196" s="4"/>
    </row>
    <row r="197" spans="2:9" x14ac:dyDescent="0.2">
      <c r="B197" s="4"/>
      <c r="C197" s="4"/>
      <c r="D197" s="4"/>
      <c r="E197" s="4"/>
      <c r="F197" s="4"/>
      <c r="G197" s="4"/>
      <c r="H197" s="4"/>
      <c r="I197" s="4"/>
    </row>
    <row r="198" spans="2:9" x14ac:dyDescent="0.2">
      <c r="B198" s="4"/>
      <c r="C198" s="4"/>
      <c r="D198" s="4"/>
      <c r="E198" s="4"/>
      <c r="F198" s="4"/>
      <c r="G198" s="4"/>
      <c r="H198" s="4"/>
      <c r="I198" s="4"/>
    </row>
    <row r="199" spans="2:9" x14ac:dyDescent="0.2">
      <c r="B199" s="4"/>
      <c r="C199" s="4"/>
      <c r="D199" s="4"/>
      <c r="E199" s="4"/>
      <c r="F199" s="4"/>
      <c r="G199" s="4"/>
      <c r="H199" s="4"/>
      <c r="I199" s="4"/>
    </row>
    <row r="200" spans="2:9" x14ac:dyDescent="0.2">
      <c r="B200" s="4"/>
      <c r="C200" s="4"/>
      <c r="D200" s="4"/>
      <c r="E200" s="4"/>
      <c r="F200" s="4"/>
      <c r="G200" s="4"/>
      <c r="H200" s="4"/>
      <c r="I200" s="4"/>
    </row>
    <row r="201" spans="2:9" x14ac:dyDescent="0.2">
      <c r="B201" s="4"/>
      <c r="C201" s="4"/>
      <c r="D201" s="4"/>
      <c r="E201" s="4"/>
      <c r="F201" s="4"/>
      <c r="G201" s="4"/>
      <c r="H201" s="4"/>
      <c r="I201" s="4"/>
    </row>
    <row r="202" spans="2:9" x14ac:dyDescent="0.2">
      <c r="B202" s="4"/>
      <c r="C202" s="4"/>
      <c r="D202" s="4"/>
      <c r="E202" s="4"/>
      <c r="F202" s="4"/>
      <c r="G202" s="4"/>
      <c r="H202" s="4"/>
      <c r="I202" s="4"/>
    </row>
    <row r="203" spans="2:9" x14ac:dyDescent="0.2">
      <c r="B203" s="4"/>
      <c r="C203" s="4"/>
      <c r="D203" s="4"/>
      <c r="E203" s="4"/>
      <c r="F203" s="4"/>
      <c r="G203" s="4"/>
      <c r="H203" s="4"/>
      <c r="I203" s="4"/>
    </row>
    <row r="204" spans="2:9" x14ac:dyDescent="0.2">
      <c r="B204" s="4"/>
      <c r="C204" s="4"/>
      <c r="D204" s="4"/>
      <c r="E204" s="4"/>
      <c r="F204" s="4"/>
      <c r="G204" s="4"/>
      <c r="H204" s="4"/>
      <c r="I204" s="4"/>
    </row>
    <row r="205" spans="2:9" x14ac:dyDescent="0.2">
      <c r="B205" s="4"/>
      <c r="C205" s="4"/>
      <c r="D205" s="4"/>
      <c r="E205" s="4"/>
      <c r="F205" s="4"/>
      <c r="G205" s="4"/>
      <c r="H205" s="4"/>
      <c r="I205" s="4"/>
    </row>
    <row r="206" spans="2:9" x14ac:dyDescent="0.2">
      <c r="B206" s="4"/>
      <c r="C206" s="4"/>
      <c r="D206" s="4"/>
      <c r="E206" s="4"/>
      <c r="F206" s="4"/>
      <c r="G206" s="4"/>
      <c r="H206" s="4"/>
      <c r="I206" s="4"/>
    </row>
    <row r="207" spans="2:9" x14ac:dyDescent="0.2">
      <c r="B207" s="4"/>
      <c r="C207" s="4"/>
      <c r="D207" s="4"/>
      <c r="E207" s="4"/>
      <c r="F207" s="4"/>
      <c r="G207" s="4"/>
      <c r="H207" s="4"/>
      <c r="I207" s="4"/>
    </row>
    <row r="208" spans="2:9" x14ac:dyDescent="0.2">
      <c r="B208" s="4"/>
      <c r="C208" s="4"/>
      <c r="D208" s="4"/>
      <c r="E208" s="4"/>
      <c r="F208" s="4"/>
      <c r="G208" s="4"/>
      <c r="H208" s="4"/>
      <c r="I208" s="4"/>
    </row>
    <row r="209" spans="2:9" x14ac:dyDescent="0.2">
      <c r="B209" s="4"/>
      <c r="C209" s="4"/>
      <c r="D209" s="4"/>
      <c r="E209" s="4"/>
      <c r="F209" s="4"/>
      <c r="G209" s="4"/>
      <c r="H209" s="4"/>
      <c r="I209" s="4"/>
    </row>
    <row r="210" spans="2:9" x14ac:dyDescent="0.2">
      <c r="B210" s="4"/>
      <c r="C210" s="4"/>
      <c r="D210" s="4"/>
      <c r="E210" s="4"/>
      <c r="F210" s="4"/>
      <c r="G210" s="4"/>
      <c r="H210" s="4"/>
      <c r="I210" s="4"/>
    </row>
    <row r="211" spans="2:9" x14ac:dyDescent="0.2">
      <c r="B211" s="4"/>
      <c r="C211" s="4"/>
      <c r="D211" s="4"/>
      <c r="E211" s="4"/>
      <c r="F211" s="4"/>
      <c r="G211" s="4"/>
      <c r="H211" s="4"/>
      <c r="I211" s="4"/>
    </row>
    <row r="212" spans="2:9" x14ac:dyDescent="0.2">
      <c r="B212" s="4"/>
      <c r="C212" s="4"/>
      <c r="D212" s="4"/>
      <c r="E212" s="4"/>
      <c r="F212" s="4"/>
      <c r="G212" s="4"/>
      <c r="H212" s="4"/>
      <c r="I212" s="4"/>
    </row>
    <row r="213" spans="2:9" x14ac:dyDescent="0.2">
      <c r="B213" s="4"/>
      <c r="C213" s="4"/>
      <c r="D213" s="4"/>
      <c r="E213" s="4"/>
      <c r="F213" s="4"/>
      <c r="G213" s="4"/>
      <c r="H213" s="4"/>
      <c r="I213" s="4"/>
    </row>
    <row r="214" spans="2:9" x14ac:dyDescent="0.2">
      <c r="B214" s="4"/>
      <c r="C214" s="4"/>
      <c r="D214" s="4"/>
      <c r="E214" s="4"/>
      <c r="F214" s="4"/>
      <c r="G214" s="4"/>
      <c r="H214" s="4"/>
      <c r="I214" s="4"/>
    </row>
    <row r="215" spans="2:9" x14ac:dyDescent="0.2">
      <c r="B215" s="4"/>
      <c r="C215" s="4"/>
      <c r="D215" s="4"/>
      <c r="E215" s="4"/>
      <c r="F215" s="4"/>
      <c r="G215" s="4"/>
      <c r="H215" s="4"/>
      <c r="I215" s="4"/>
    </row>
    <row r="216" spans="2:9" x14ac:dyDescent="0.2">
      <c r="B216" s="4"/>
      <c r="C216" s="4"/>
      <c r="D216" s="4"/>
      <c r="E216" s="4"/>
      <c r="F216" s="4"/>
      <c r="G216" s="4"/>
      <c r="H216" s="4"/>
      <c r="I216" s="4"/>
    </row>
    <row r="217" spans="2:9" x14ac:dyDescent="0.2">
      <c r="B217" s="4"/>
      <c r="C217" s="4"/>
      <c r="D217" s="4"/>
      <c r="E217" s="4"/>
      <c r="F217" s="4"/>
      <c r="G217" s="4"/>
      <c r="H217" s="4"/>
      <c r="I217" s="4"/>
    </row>
    <row r="218" spans="2:9" x14ac:dyDescent="0.2">
      <c r="B218" s="4"/>
      <c r="C218" s="4"/>
      <c r="D218" s="4"/>
      <c r="E218" s="4"/>
      <c r="F218" s="4"/>
      <c r="G218" s="4"/>
      <c r="H218" s="4"/>
      <c r="I218" s="4"/>
    </row>
    <row r="219" spans="2:9" x14ac:dyDescent="0.2">
      <c r="B219" s="4"/>
      <c r="C219" s="4"/>
      <c r="D219" s="4"/>
      <c r="E219" s="4"/>
      <c r="F219" s="4"/>
      <c r="G219" s="4"/>
      <c r="H219" s="4"/>
      <c r="I219" s="4"/>
    </row>
    <row r="220" spans="2:9" x14ac:dyDescent="0.2">
      <c r="B220" s="4"/>
      <c r="C220" s="4"/>
      <c r="D220" s="4"/>
      <c r="E220" s="4"/>
      <c r="F220" s="4"/>
      <c r="G220" s="4"/>
      <c r="H220" s="4"/>
      <c r="I220" s="4"/>
    </row>
    <row r="221" spans="2:9" x14ac:dyDescent="0.2">
      <c r="B221" s="4"/>
      <c r="C221" s="4"/>
      <c r="D221" s="4"/>
      <c r="E221" s="4"/>
      <c r="F221" s="4"/>
      <c r="G221" s="4"/>
      <c r="H221" s="4"/>
      <c r="I221" s="4"/>
    </row>
    <row r="222" spans="2:9" x14ac:dyDescent="0.2">
      <c r="B222" s="4"/>
      <c r="C222" s="4"/>
      <c r="D222" s="4"/>
      <c r="E222" s="4"/>
      <c r="F222" s="4"/>
      <c r="G222" s="4"/>
      <c r="H222" s="4"/>
      <c r="I222" s="4"/>
    </row>
    <row r="223" spans="2:9" x14ac:dyDescent="0.2">
      <c r="B223" s="4"/>
      <c r="C223" s="4"/>
      <c r="D223" s="4"/>
      <c r="E223" s="4"/>
      <c r="F223" s="4"/>
      <c r="G223" s="4"/>
      <c r="H223" s="4"/>
      <c r="I223" s="4"/>
    </row>
    <row r="224" spans="2:9" x14ac:dyDescent="0.2">
      <c r="B224" s="4"/>
      <c r="C224" s="4"/>
      <c r="D224" s="4"/>
      <c r="E224" s="4"/>
      <c r="F224" s="4"/>
      <c r="G224" s="4"/>
      <c r="H224" s="4"/>
      <c r="I224" s="4"/>
    </row>
    <row r="225" spans="2:9" x14ac:dyDescent="0.2">
      <c r="B225" s="4"/>
      <c r="C225" s="4"/>
      <c r="D225" s="4"/>
      <c r="E225" s="4"/>
      <c r="F225" s="4"/>
      <c r="G225" s="4"/>
      <c r="H225" s="4"/>
      <c r="I225" s="4"/>
    </row>
    <row r="226" spans="2:9" x14ac:dyDescent="0.2">
      <c r="B226" s="4"/>
      <c r="C226" s="4"/>
      <c r="D226" s="4"/>
      <c r="E226" s="4"/>
      <c r="F226" s="4"/>
      <c r="G226" s="4"/>
      <c r="H226" s="4"/>
      <c r="I226" s="4"/>
    </row>
    <row r="227" spans="2:9" x14ac:dyDescent="0.2">
      <c r="B227" s="4"/>
      <c r="C227" s="4"/>
      <c r="D227" s="4"/>
      <c r="E227" s="4"/>
      <c r="F227" s="4"/>
      <c r="G227" s="4"/>
      <c r="H227" s="4"/>
      <c r="I227" s="4"/>
    </row>
    <row r="228" spans="2:9" x14ac:dyDescent="0.2">
      <c r="B228" s="4"/>
      <c r="C228" s="4"/>
      <c r="D228" s="4"/>
      <c r="E228" s="4"/>
      <c r="F228" s="4"/>
      <c r="G228" s="4"/>
      <c r="H228" s="4"/>
      <c r="I228" s="4"/>
    </row>
    <row r="229" spans="2:9" x14ac:dyDescent="0.2">
      <c r="B229" s="4"/>
      <c r="C229" s="4"/>
      <c r="D229" s="4"/>
      <c r="E229" s="4"/>
      <c r="F229" s="4"/>
      <c r="G229" s="4"/>
      <c r="H229" s="4"/>
      <c r="I229" s="4"/>
    </row>
    <row r="230" spans="2:9" x14ac:dyDescent="0.2">
      <c r="B230" s="4"/>
      <c r="C230" s="4"/>
      <c r="D230" s="4"/>
      <c r="E230" s="4"/>
      <c r="F230" s="4"/>
      <c r="G230" s="4"/>
      <c r="H230" s="4"/>
      <c r="I230" s="4"/>
    </row>
    <row r="231" spans="2:9" x14ac:dyDescent="0.2">
      <c r="B231" s="4"/>
      <c r="C231" s="4"/>
      <c r="D231" s="4"/>
      <c r="E231" s="4"/>
      <c r="F231" s="4"/>
      <c r="G231" s="4"/>
      <c r="H231" s="4"/>
      <c r="I231" s="4"/>
    </row>
    <row r="232" spans="2:9" x14ac:dyDescent="0.2">
      <c r="B232" s="4"/>
      <c r="C232" s="4"/>
      <c r="D232" s="4"/>
      <c r="E232" s="4"/>
      <c r="F232" s="4"/>
      <c r="G232" s="4"/>
      <c r="H232" s="4"/>
      <c r="I232" s="4"/>
    </row>
    <row r="233" spans="2:9" x14ac:dyDescent="0.2">
      <c r="B233" s="4"/>
      <c r="C233" s="4"/>
      <c r="D233" s="4"/>
      <c r="E233" s="4"/>
      <c r="F233" s="4"/>
      <c r="G233" s="4"/>
      <c r="H233" s="4"/>
      <c r="I233" s="4"/>
    </row>
    <row r="234" spans="2:9" x14ac:dyDescent="0.2">
      <c r="B234" s="4"/>
      <c r="C234" s="4"/>
      <c r="D234" s="4"/>
      <c r="E234" s="4"/>
      <c r="F234" s="4"/>
      <c r="G234" s="4"/>
      <c r="H234" s="4"/>
      <c r="I234" s="4"/>
    </row>
    <row r="235" spans="2:9" x14ac:dyDescent="0.2">
      <c r="B235" s="4"/>
      <c r="C235" s="4"/>
      <c r="D235" s="4"/>
      <c r="E235" s="4"/>
      <c r="F235" s="4"/>
      <c r="G235" s="4"/>
      <c r="H235" s="4"/>
      <c r="I235" s="4"/>
    </row>
    <row r="236" spans="2:9" x14ac:dyDescent="0.2">
      <c r="B236" s="4"/>
      <c r="C236" s="4"/>
      <c r="D236" s="4"/>
      <c r="E236" s="4"/>
      <c r="F236" s="4"/>
      <c r="G236" s="4"/>
      <c r="H236" s="4"/>
      <c r="I236" s="4"/>
    </row>
    <row r="237" spans="2:9" x14ac:dyDescent="0.2">
      <c r="B237" s="4"/>
      <c r="C237" s="4"/>
      <c r="D237" s="4"/>
      <c r="E237" s="4"/>
      <c r="F237" s="4"/>
      <c r="G237" s="4"/>
      <c r="H237" s="4"/>
      <c r="I237" s="4"/>
    </row>
    <row r="238" spans="2:9" x14ac:dyDescent="0.2">
      <c r="B238" s="4"/>
      <c r="C238" s="4"/>
      <c r="D238" s="4"/>
      <c r="E238" s="4"/>
      <c r="F238" s="4"/>
      <c r="G238" s="4"/>
      <c r="H238" s="4"/>
      <c r="I238" s="4"/>
    </row>
    <row r="239" spans="2:9" x14ac:dyDescent="0.2">
      <c r="B239" s="4"/>
      <c r="C239" s="4"/>
      <c r="D239" s="4"/>
      <c r="E239" s="4"/>
      <c r="F239" s="4"/>
      <c r="G239" s="4"/>
      <c r="H239" s="4"/>
      <c r="I239" s="4"/>
    </row>
    <row r="240" spans="2:9" x14ac:dyDescent="0.2">
      <c r="B240" s="4"/>
      <c r="C240" s="4"/>
      <c r="D240" s="4"/>
      <c r="E240" s="4"/>
      <c r="F240" s="4"/>
      <c r="G240" s="4"/>
      <c r="H240" s="4"/>
      <c r="I240" s="4"/>
    </row>
    <row r="241" spans="2:9" x14ac:dyDescent="0.2">
      <c r="B241" s="4"/>
      <c r="C241" s="4"/>
      <c r="D241" s="4"/>
      <c r="E241" s="4"/>
      <c r="F241" s="4"/>
      <c r="G241" s="4"/>
      <c r="H241" s="4"/>
      <c r="I241" s="4"/>
    </row>
    <row r="242" spans="2:9" x14ac:dyDescent="0.2">
      <c r="B242" s="4"/>
      <c r="C242" s="4"/>
      <c r="D242" s="4"/>
      <c r="E242" s="4"/>
      <c r="F242" s="4"/>
      <c r="G242" s="4"/>
      <c r="H242" s="4"/>
      <c r="I242" s="4"/>
    </row>
    <row r="243" spans="2:9" x14ac:dyDescent="0.2">
      <c r="B243" s="4"/>
      <c r="C243" s="4"/>
      <c r="D243" s="4"/>
      <c r="E243" s="4"/>
      <c r="F243" s="4"/>
      <c r="G243" s="4"/>
      <c r="H243" s="4"/>
      <c r="I243" s="4"/>
    </row>
    <row r="244" spans="2:9" x14ac:dyDescent="0.2">
      <c r="B244" s="4"/>
      <c r="C244" s="4"/>
      <c r="D244" s="4"/>
      <c r="E244" s="4"/>
      <c r="F244" s="4"/>
      <c r="G244" s="4"/>
      <c r="H244" s="4"/>
      <c r="I244" s="4"/>
    </row>
    <row r="245" spans="2:9" x14ac:dyDescent="0.2">
      <c r="B245" s="4"/>
      <c r="C245" s="4"/>
      <c r="D245" s="4"/>
      <c r="E245" s="4"/>
      <c r="F245" s="4"/>
      <c r="G245" s="4"/>
      <c r="H245" s="4"/>
      <c r="I245" s="4"/>
    </row>
    <row r="246" spans="2:9" x14ac:dyDescent="0.2">
      <c r="B246" s="4"/>
      <c r="C246" s="4"/>
      <c r="D246" s="4"/>
      <c r="E246" s="4"/>
      <c r="F246" s="4"/>
      <c r="G246" s="4"/>
      <c r="H246" s="4"/>
      <c r="I246" s="4"/>
    </row>
    <row r="247" spans="2:9" x14ac:dyDescent="0.2">
      <c r="B247" s="4"/>
      <c r="C247" s="4"/>
      <c r="D247" s="4"/>
      <c r="E247" s="4"/>
      <c r="F247" s="4"/>
      <c r="G247" s="4"/>
      <c r="H247" s="4"/>
      <c r="I247" s="4"/>
    </row>
    <row r="248" spans="2:9" x14ac:dyDescent="0.2">
      <c r="B248" s="4"/>
      <c r="C248" s="4"/>
      <c r="D248" s="4"/>
      <c r="E248" s="4"/>
      <c r="F248" s="4"/>
      <c r="G248" s="4"/>
      <c r="H248" s="4"/>
      <c r="I248" s="4"/>
    </row>
    <row r="249" spans="2:9" x14ac:dyDescent="0.2">
      <c r="B249" s="4"/>
      <c r="C249" s="4"/>
      <c r="D249" s="4"/>
      <c r="E249" s="4"/>
      <c r="F249" s="4"/>
      <c r="G249" s="4"/>
      <c r="H249" s="4"/>
      <c r="I249" s="4"/>
    </row>
    <row r="250" spans="2:9" x14ac:dyDescent="0.2">
      <c r="B250" s="4"/>
      <c r="C250" s="4"/>
      <c r="D250" s="4"/>
      <c r="E250" s="4"/>
      <c r="F250" s="4"/>
      <c r="G250" s="4"/>
      <c r="H250" s="4"/>
      <c r="I250" s="4"/>
    </row>
    <row r="251" spans="2:9" x14ac:dyDescent="0.2">
      <c r="B251" s="4"/>
      <c r="C251" s="4"/>
      <c r="D251" s="4"/>
      <c r="E251" s="4"/>
      <c r="F251" s="4"/>
      <c r="G251" s="4"/>
      <c r="H251" s="4"/>
      <c r="I251" s="4"/>
    </row>
    <row r="252" spans="2:9" x14ac:dyDescent="0.2">
      <c r="B252" s="4"/>
      <c r="C252" s="4"/>
      <c r="D252" s="4"/>
      <c r="E252" s="4"/>
      <c r="F252" s="4"/>
      <c r="G252" s="4"/>
      <c r="H252" s="4"/>
      <c r="I252" s="4"/>
    </row>
    <row r="253" spans="2:9" x14ac:dyDescent="0.2">
      <c r="B253" s="4"/>
      <c r="C253" s="4"/>
      <c r="D253" s="4"/>
      <c r="E253" s="4"/>
      <c r="F253" s="4"/>
      <c r="G253" s="4"/>
      <c r="H253" s="4"/>
      <c r="I253" s="4"/>
    </row>
    <row r="254" spans="2:9" x14ac:dyDescent="0.2">
      <c r="B254" s="4"/>
      <c r="C254" s="4"/>
      <c r="D254" s="4"/>
      <c r="E254" s="4"/>
      <c r="F254" s="4"/>
      <c r="G254" s="4"/>
      <c r="H254" s="4"/>
      <c r="I254" s="4"/>
    </row>
    <row r="255" spans="2:9" x14ac:dyDescent="0.2">
      <c r="B255" s="4"/>
      <c r="C255" s="4"/>
      <c r="D255" s="4"/>
      <c r="E255" s="4"/>
      <c r="F255" s="4"/>
      <c r="G255" s="4"/>
      <c r="H255" s="4"/>
      <c r="I255" s="4"/>
    </row>
    <row r="256" spans="2:9" x14ac:dyDescent="0.2">
      <c r="B256" s="4"/>
      <c r="C256" s="4"/>
      <c r="D256" s="4"/>
      <c r="E256" s="4"/>
      <c r="F256" s="4"/>
      <c r="G256" s="4"/>
      <c r="H256" s="4"/>
      <c r="I256" s="4"/>
    </row>
    <row r="257" spans="2:9" x14ac:dyDescent="0.2">
      <c r="B257" s="4"/>
      <c r="C257" s="4"/>
      <c r="D257" s="4"/>
      <c r="E257" s="4"/>
      <c r="F257" s="4"/>
      <c r="G257" s="4"/>
      <c r="H257" s="4"/>
      <c r="I257" s="4"/>
    </row>
    <row r="258" spans="2:9" x14ac:dyDescent="0.2">
      <c r="B258" s="4"/>
      <c r="C258" s="4"/>
      <c r="D258" s="4"/>
      <c r="E258" s="4"/>
      <c r="F258" s="4"/>
      <c r="G258" s="4"/>
      <c r="H258" s="4"/>
      <c r="I258" s="4"/>
    </row>
    <row r="259" spans="2:9" x14ac:dyDescent="0.2">
      <c r="B259" s="4"/>
      <c r="C259" s="4"/>
      <c r="D259" s="4"/>
      <c r="E259" s="4"/>
      <c r="F259" s="4"/>
      <c r="G259" s="4"/>
      <c r="H259" s="4"/>
      <c r="I259" s="4"/>
    </row>
    <row r="260" spans="2:9" x14ac:dyDescent="0.2">
      <c r="B260" s="4"/>
      <c r="C260" s="4"/>
      <c r="D260" s="4"/>
      <c r="E260" s="4"/>
      <c r="F260" s="4"/>
      <c r="G260" s="4"/>
      <c r="H260" s="4"/>
      <c r="I260" s="4"/>
    </row>
    <row r="261" spans="2:9" x14ac:dyDescent="0.2">
      <c r="B261" s="4"/>
      <c r="C261" s="4"/>
      <c r="D261" s="4"/>
      <c r="E261" s="4"/>
      <c r="F261" s="4"/>
      <c r="G261" s="4"/>
      <c r="H261" s="4"/>
      <c r="I261" s="4"/>
    </row>
    <row r="262" spans="2:9" x14ac:dyDescent="0.2">
      <c r="B262" s="4"/>
      <c r="C262" s="4"/>
      <c r="D262" s="4"/>
      <c r="E262" s="4"/>
      <c r="F262" s="4"/>
      <c r="G262" s="4"/>
      <c r="H262" s="4"/>
      <c r="I262" s="4"/>
    </row>
    <row r="263" spans="2:9" x14ac:dyDescent="0.2">
      <c r="B263" s="4"/>
      <c r="C263" s="4"/>
      <c r="D263" s="4"/>
      <c r="E263" s="4"/>
      <c r="F263" s="4"/>
      <c r="G263" s="4"/>
      <c r="H263" s="4"/>
      <c r="I263" s="4"/>
    </row>
    <row r="264" spans="2:9" x14ac:dyDescent="0.2">
      <c r="B264" s="4"/>
      <c r="C264" s="4"/>
      <c r="D264" s="4"/>
      <c r="E264" s="4"/>
      <c r="F264" s="4"/>
      <c r="G264" s="4"/>
      <c r="H264" s="4"/>
      <c r="I264" s="4"/>
    </row>
    <row r="265" spans="2:9" x14ac:dyDescent="0.2">
      <c r="B265" s="4"/>
      <c r="C265" s="4"/>
      <c r="D265" s="4"/>
      <c r="E265" s="4"/>
      <c r="F265" s="4"/>
      <c r="G265" s="4"/>
      <c r="H265" s="4"/>
      <c r="I265" s="4"/>
    </row>
    <row r="266" spans="2:9" x14ac:dyDescent="0.2">
      <c r="B266" s="4"/>
      <c r="C266" s="4"/>
      <c r="D266" s="4"/>
      <c r="E266" s="4"/>
      <c r="F266" s="4"/>
      <c r="G266" s="4"/>
      <c r="H266" s="4"/>
      <c r="I266" s="4"/>
    </row>
    <row r="267" spans="2:9" x14ac:dyDescent="0.2">
      <c r="B267" s="4"/>
      <c r="C267" s="4"/>
      <c r="D267" s="4"/>
      <c r="E267" s="4"/>
      <c r="F267" s="4"/>
      <c r="G267" s="4"/>
      <c r="H267" s="4"/>
      <c r="I267" s="4"/>
    </row>
    <row r="268" spans="2:9" x14ac:dyDescent="0.2">
      <c r="B268" s="4"/>
      <c r="C268" s="4"/>
      <c r="D268" s="4"/>
      <c r="E268" s="4"/>
      <c r="F268" s="4"/>
      <c r="G268" s="4"/>
      <c r="H268" s="4"/>
      <c r="I268" s="4"/>
    </row>
    <row r="269" spans="2:9" x14ac:dyDescent="0.2">
      <c r="B269" s="4"/>
      <c r="C269" s="4"/>
      <c r="D269" s="4"/>
      <c r="E269" s="4"/>
      <c r="F269" s="4"/>
      <c r="G269" s="4"/>
      <c r="H269" s="4"/>
      <c r="I269" s="4"/>
    </row>
    <row r="270" spans="2:9" x14ac:dyDescent="0.2">
      <c r="B270" s="4"/>
      <c r="C270" s="4"/>
      <c r="D270" s="4"/>
      <c r="E270" s="4"/>
      <c r="F270" s="4"/>
      <c r="G270" s="4"/>
      <c r="H270" s="4"/>
      <c r="I270" s="4"/>
    </row>
    <row r="271" spans="2:9" x14ac:dyDescent="0.2">
      <c r="B271" s="4"/>
      <c r="C271" s="4"/>
      <c r="D271" s="4"/>
      <c r="E271" s="4"/>
      <c r="F271" s="4"/>
      <c r="G271" s="4"/>
      <c r="H271" s="4"/>
      <c r="I271" s="4"/>
    </row>
    <row r="272" spans="2:9" x14ac:dyDescent="0.2">
      <c r="B272" s="4"/>
      <c r="C272" s="4"/>
      <c r="D272" s="4"/>
      <c r="E272" s="4"/>
      <c r="F272" s="4"/>
      <c r="G272" s="4"/>
      <c r="H272" s="4"/>
      <c r="I272" s="4"/>
    </row>
    <row r="273" spans="2:9" x14ac:dyDescent="0.2">
      <c r="B273" s="4"/>
      <c r="C273" s="4"/>
      <c r="D273" s="4"/>
      <c r="E273" s="4"/>
      <c r="F273" s="4"/>
      <c r="G273" s="4"/>
      <c r="H273" s="4"/>
      <c r="I273" s="4"/>
    </row>
    <row r="274" spans="2:9" x14ac:dyDescent="0.2">
      <c r="B274" s="4"/>
      <c r="C274" s="4"/>
      <c r="D274" s="4"/>
      <c r="E274" s="4"/>
      <c r="F274" s="4"/>
      <c r="G274" s="4"/>
      <c r="H274" s="4"/>
      <c r="I274" s="4"/>
    </row>
    <row r="275" spans="2:9" x14ac:dyDescent="0.2">
      <c r="B275" s="4"/>
      <c r="C275" s="4"/>
      <c r="D275" s="4"/>
      <c r="E275" s="4"/>
      <c r="F275" s="4"/>
      <c r="G275" s="4"/>
      <c r="H275" s="4"/>
      <c r="I275" s="4"/>
    </row>
    <row r="276" spans="2:9" x14ac:dyDescent="0.2">
      <c r="B276" s="4"/>
      <c r="C276" s="4"/>
      <c r="D276" s="4"/>
      <c r="E276" s="4"/>
      <c r="F276" s="4"/>
      <c r="G276" s="4"/>
      <c r="H276" s="4"/>
      <c r="I276" s="4"/>
    </row>
    <row r="277" spans="2:9" x14ac:dyDescent="0.2">
      <c r="B277" s="4"/>
      <c r="C277" s="4"/>
      <c r="D277" s="4"/>
      <c r="E277" s="4"/>
      <c r="F277" s="4"/>
      <c r="G277" s="4"/>
      <c r="H277" s="4"/>
      <c r="I277" s="4"/>
    </row>
    <row r="278" spans="2:9" x14ac:dyDescent="0.2">
      <c r="B278" s="4"/>
      <c r="C278" s="4"/>
      <c r="D278" s="4"/>
      <c r="E278" s="4"/>
      <c r="F278" s="4"/>
      <c r="G278" s="4"/>
      <c r="H278" s="4"/>
      <c r="I278" s="4"/>
    </row>
    <row r="279" spans="2:9" x14ac:dyDescent="0.2">
      <c r="B279" s="4"/>
      <c r="C279" s="4"/>
      <c r="D279" s="4"/>
      <c r="E279" s="4"/>
      <c r="F279" s="4"/>
      <c r="G279" s="4"/>
      <c r="H279" s="4"/>
      <c r="I279" s="4"/>
    </row>
    <row r="280" spans="2:9" x14ac:dyDescent="0.2">
      <c r="B280" s="4"/>
      <c r="C280" s="4"/>
      <c r="D280" s="4"/>
      <c r="E280" s="4"/>
      <c r="F280" s="4"/>
      <c r="G280" s="4"/>
      <c r="H280" s="4"/>
      <c r="I280" s="4"/>
    </row>
    <row r="281" spans="2:9" x14ac:dyDescent="0.2">
      <c r="B281" s="4"/>
      <c r="C281" s="4"/>
      <c r="D281" s="4"/>
      <c r="E281" s="4"/>
      <c r="F281" s="4"/>
      <c r="G281" s="4"/>
      <c r="H281" s="4"/>
      <c r="I281" s="4"/>
    </row>
    <row r="282" spans="2:9" x14ac:dyDescent="0.2">
      <c r="B282" s="4"/>
      <c r="C282" s="4"/>
      <c r="D282" s="4"/>
      <c r="E282" s="4"/>
      <c r="F282" s="4"/>
      <c r="G282" s="4"/>
      <c r="H282" s="4"/>
      <c r="I282" s="4"/>
    </row>
    <row r="283" spans="2:9" x14ac:dyDescent="0.2">
      <c r="B283" s="4"/>
      <c r="C283" s="4"/>
      <c r="D283" s="4"/>
      <c r="E283" s="4"/>
      <c r="F283" s="4"/>
      <c r="G283" s="4"/>
      <c r="H283" s="4"/>
      <c r="I283" s="4"/>
    </row>
    <row r="284" spans="2:9" x14ac:dyDescent="0.2">
      <c r="B284" s="4"/>
      <c r="C284" s="4"/>
      <c r="D284" s="4"/>
      <c r="E284" s="4"/>
      <c r="F284" s="4"/>
      <c r="G284" s="4"/>
      <c r="H284" s="4"/>
      <c r="I284" s="4"/>
    </row>
    <row r="285" spans="2:9" x14ac:dyDescent="0.2">
      <c r="B285" s="4"/>
      <c r="C285" s="4"/>
      <c r="D285" s="4"/>
      <c r="E285" s="4"/>
      <c r="F285" s="4"/>
      <c r="G285" s="4"/>
      <c r="H285" s="4"/>
      <c r="I285" s="4"/>
    </row>
    <row r="286" spans="2:9" x14ac:dyDescent="0.2">
      <c r="B286" s="4"/>
      <c r="C286" s="4"/>
      <c r="D286" s="4"/>
      <c r="E286" s="4"/>
      <c r="F286" s="4"/>
      <c r="G286" s="4"/>
      <c r="H286" s="4"/>
      <c r="I286" s="4"/>
    </row>
    <row r="287" spans="2:9" x14ac:dyDescent="0.2">
      <c r="B287" s="4"/>
      <c r="C287" s="4"/>
      <c r="D287" s="4"/>
      <c r="E287" s="4"/>
      <c r="F287" s="4"/>
      <c r="G287" s="4"/>
      <c r="H287" s="4"/>
      <c r="I287" s="4"/>
    </row>
    <row r="288" spans="2:9" x14ac:dyDescent="0.2">
      <c r="B288" s="4"/>
      <c r="C288" s="4"/>
      <c r="D288" s="4"/>
      <c r="E288" s="4"/>
      <c r="F288" s="4"/>
      <c r="G288" s="4"/>
      <c r="H288" s="4"/>
      <c r="I288" s="4"/>
    </row>
    <row r="289" spans="2:9" x14ac:dyDescent="0.2">
      <c r="B289" s="4"/>
      <c r="C289" s="4"/>
      <c r="D289" s="4"/>
      <c r="E289" s="4"/>
      <c r="F289" s="4"/>
      <c r="G289" s="4"/>
      <c r="H289" s="4"/>
      <c r="I289" s="4"/>
    </row>
    <row r="290" spans="2:9" x14ac:dyDescent="0.2">
      <c r="B290" s="4"/>
      <c r="C290" s="4"/>
      <c r="D290" s="4"/>
      <c r="E290" s="4"/>
      <c r="F290" s="4"/>
      <c r="G290" s="4"/>
      <c r="H290" s="4"/>
      <c r="I290" s="4"/>
    </row>
    <row r="291" spans="2:9" x14ac:dyDescent="0.2">
      <c r="B291" s="4"/>
      <c r="C291" s="4"/>
      <c r="D291" s="4"/>
      <c r="E291" s="4"/>
      <c r="F291" s="4"/>
      <c r="G291" s="4"/>
      <c r="H291" s="4"/>
      <c r="I291" s="4"/>
    </row>
    <row r="292" spans="2:9" x14ac:dyDescent="0.2">
      <c r="B292" s="4"/>
      <c r="C292" s="4"/>
      <c r="D292" s="4"/>
      <c r="E292" s="4"/>
      <c r="F292" s="4"/>
      <c r="G292" s="4"/>
      <c r="H292" s="4"/>
      <c r="I292" s="4"/>
    </row>
    <row r="293" spans="2:9" x14ac:dyDescent="0.2">
      <c r="B293" s="4"/>
      <c r="C293" s="4"/>
      <c r="D293" s="4"/>
      <c r="E293" s="4"/>
      <c r="F293" s="4"/>
      <c r="G293" s="4"/>
      <c r="H293" s="4"/>
      <c r="I293" s="4"/>
    </row>
    <row r="294" spans="2:9" x14ac:dyDescent="0.2">
      <c r="B294" s="4"/>
      <c r="C294" s="4"/>
      <c r="D294" s="4"/>
      <c r="E294" s="4"/>
      <c r="F294" s="4"/>
      <c r="G294" s="4"/>
      <c r="H294" s="4"/>
      <c r="I294" s="4"/>
    </row>
    <row r="295" spans="2:9" x14ac:dyDescent="0.2">
      <c r="B295" s="4"/>
      <c r="C295" s="4"/>
      <c r="D295" s="4"/>
      <c r="E295" s="4"/>
      <c r="F295" s="4"/>
      <c r="G295" s="4"/>
      <c r="H295" s="4"/>
      <c r="I295" s="4"/>
    </row>
    <row r="296" spans="2:9" x14ac:dyDescent="0.2">
      <c r="B296" s="4"/>
      <c r="C296" s="4"/>
      <c r="D296" s="4"/>
      <c r="E296" s="4"/>
      <c r="F296" s="4"/>
      <c r="G296" s="4"/>
      <c r="H296" s="4"/>
      <c r="I296" s="4"/>
    </row>
    <row r="297" spans="2:9" x14ac:dyDescent="0.2">
      <c r="B297" s="4"/>
      <c r="C297" s="4"/>
      <c r="D297" s="4"/>
      <c r="E297" s="4"/>
      <c r="F297" s="4"/>
      <c r="G297" s="4"/>
      <c r="H297" s="4"/>
      <c r="I297" s="4"/>
    </row>
    <row r="298" spans="2:9" x14ac:dyDescent="0.2">
      <c r="B298" s="4"/>
      <c r="C298" s="4"/>
      <c r="D298" s="4"/>
      <c r="E298" s="4"/>
      <c r="F298" s="4"/>
      <c r="G298" s="4"/>
      <c r="H298" s="4"/>
      <c r="I298" s="4"/>
    </row>
    <row r="299" spans="2:9" x14ac:dyDescent="0.2">
      <c r="B299" s="4"/>
      <c r="C299" s="4"/>
      <c r="D299" s="4"/>
      <c r="E299" s="4"/>
      <c r="F299" s="4"/>
      <c r="G299" s="4"/>
      <c r="H299" s="4"/>
      <c r="I299" s="4"/>
    </row>
    <row r="300" spans="2:9" x14ac:dyDescent="0.2">
      <c r="B300" s="4"/>
      <c r="C300" s="4"/>
      <c r="D300" s="4"/>
      <c r="E300" s="4"/>
      <c r="F300" s="4"/>
      <c r="G300" s="4"/>
      <c r="H300" s="4"/>
      <c r="I300" s="4"/>
    </row>
    <row r="301" spans="2:9" x14ac:dyDescent="0.2">
      <c r="B301" s="4"/>
      <c r="C301" s="4"/>
      <c r="D301" s="4"/>
      <c r="E301" s="4"/>
      <c r="F301" s="4"/>
      <c r="G301" s="4"/>
      <c r="H301" s="4"/>
      <c r="I301" s="4"/>
    </row>
    <row r="302" spans="2:9" x14ac:dyDescent="0.2">
      <c r="B302" s="4"/>
      <c r="C302" s="4"/>
      <c r="D302" s="4"/>
      <c r="E302" s="4"/>
      <c r="F302" s="4"/>
      <c r="G302" s="4"/>
      <c r="H302" s="4"/>
      <c r="I302" s="4"/>
    </row>
    <row r="303" spans="2:9" x14ac:dyDescent="0.2">
      <c r="B303" s="4"/>
      <c r="C303" s="4"/>
      <c r="D303" s="4"/>
      <c r="E303" s="4"/>
      <c r="F303" s="4"/>
      <c r="G303" s="4"/>
      <c r="H303" s="4"/>
      <c r="I303" s="4"/>
    </row>
    <row r="304" spans="2:9" x14ac:dyDescent="0.2">
      <c r="B304" s="4"/>
      <c r="C304" s="4"/>
      <c r="D304" s="4"/>
      <c r="E304" s="4"/>
      <c r="F304" s="4"/>
      <c r="G304" s="4"/>
      <c r="H304" s="4"/>
      <c r="I304" s="4"/>
    </row>
    <row r="305" spans="2:9" x14ac:dyDescent="0.2">
      <c r="B305" s="4"/>
      <c r="C305" s="4"/>
      <c r="D305" s="4"/>
      <c r="E305" s="4"/>
      <c r="F305" s="4"/>
      <c r="G305" s="4"/>
      <c r="H305" s="4"/>
      <c r="I305" s="4"/>
    </row>
    <row r="306" spans="2:9" x14ac:dyDescent="0.2">
      <c r="B306" s="4"/>
      <c r="C306" s="4"/>
      <c r="D306" s="4"/>
      <c r="E306" s="4"/>
      <c r="F306" s="4"/>
      <c r="G306" s="4"/>
      <c r="H306" s="4"/>
      <c r="I306" s="4"/>
    </row>
    <row r="307" spans="2:9" x14ac:dyDescent="0.2">
      <c r="B307" s="4"/>
      <c r="C307" s="4"/>
      <c r="D307" s="4"/>
      <c r="E307" s="4"/>
      <c r="F307" s="4"/>
      <c r="G307" s="4"/>
      <c r="H307" s="4"/>
      <c r="I307" s="4"/>
    </row>
    <row r="308" spans="2:9" x14ac:dyDescent="0.2">
      <c r="B308" s="4"/>
      <c r="C308" s="4"/>
      <c r="D308" s="4"/>
      <c r="E308" s="4"/>
      <c r="F308" s="4"/>
      <c r="G308" s="4"/>
      <c r="H308" s="4"/>
      <c r="I308" s="4"/>
    </row>
    <row r="309" spans="2:9" x14ac:dyDescent="0.2">
      <c r="B309" s="4"/>
      <c r="C309" s="4"/>
      <c r="D309" s="4"/>
      <c r="E309" s="4"/>
      <c r="F309" s="4"/>
      <c r="G309" s="4"/>
      <c r="H309" s="4"/>
      <c r="I309" s="4"/>
    </row>
    <row r="310" spans="2:9" x14ac:dyDescent="0.2">
      <c r="B310" s="4"/>
      <c r="C310" s="4"/>
      <c r="D310" s="4"/>
      <c r="E310" s="4"/>
      <c r="F310" s="4"/>
      <c r="G310" s="4"/>
      <c r="H310" s="4"/>
      <c r="I310" s="4"/>
    </row>
    <row r="311" spans="2:9" x14ac:dyDescent="0.2">
      <c r="B311" s="4"/>
      <c r="C311" s="4"/>
      <c r="D311" s="4"/>
      <c r="E311" s="4"/>
      <c r="F311" s="4"/>
      <c r="G311" s="4"/>
      <c r="H311" s="4"/>
      <c r="I311" s="4"/>
    </row>
    <row r="312" spans="2:9" x14ac:dyDescent="0.2">
      <c r="B312" s="4"/>
      <c r="C312" s="4"/>
      <c r="D312" s="4"/>
      <c r="E312" s="4"/>
      <c r="F312" s="4"/>
      <c r="G312" s="4"/>
      <c r="H312" s="4"/>
      <c r="I312" s="4"/>
    </row>
    <row r="313" spans="2:9" x14ac:dyDescent="0.2">
      <c r="B313" s="4"/>
      <c r="C313" s="4"/>
      <c r="D313" s="4"/>
      <c r="E313" s="4"/>
      <c r="F313" s="4"/>
      <c r="G313" s="4"/>
      <c r="H313" s="4"/>
      <c r="I313" s="4"/>
    </row>
    <row r="314" spans="2:9" x14ac:dyDescent="0.2">
      <c r="B314" s="4"/>
      <c r="C314" s="4"/>
      <c r="D314" s="4"/>
      <c r="E314" s="4"/>
      <c r="F314" s="4"/>
      <c r="G314" s="4"/>
      <c r="H314" s="4"/>
      <c r="I314" s="4"/>
    </row>
    <row r="315" spans="2:9" x14ac:dyDescent="0.2">
      <c r="B315" s="4"/>
      <c r="C315" s="4"/>
      <c r="D315" s="4"/>
      <c r="E315" s="4"/>
      <c r="F315" s="4"/>
      <c r="G315" s="4"/>
      <c r="H315" s="4"/>
      <c r="I315" s="4"/>
    </row>
    <row r="316" spans="2:9" x14ac:dyDescent="0.2">
      <c r="B316" s="4"/>
      <c r="C316" s="4"/>
      <c r="D316" s="4"/>
      <c r="E316" s="4"/>
      <c r="F316" s="4"/>
      <c r="G316" s="4"/>
      <c r="H316" s="4"/>
      <c r="I316" s="4"/>
    </row>
    <row r="317" spans="2:9" x14ac:dyDescent="0.2">
      <c r="B317" s="4"/>
      <c r="C317" s="4"/>
      <c r="D317" s="4"/>
      <c r="E317" s="4"/>
      <c r="F317" s="4"/>
      <c r="G317" s="4"/>
      <c r="H317" s="4"/>
      <c r="I317" s="4"/>
    </row>
    <row r="318" spans="2:9" x14ac:dyDescent="0.2">
      <c r="B318" s="4"/>
      <c r="C318" s="4"/>
      <c r="D318" s="4"/>
      <c r="E318" s="4"/>
      <c r="F318" s="4"/>
      <c r="G318" s="4"/>
      <c r="H318" s="4"/>
      <c r="I318" s="4"/>
    </row>
    <row r="319" spans="2:9" x14ac:dyDescent="0.2">
      <c r="B319" s="4"/>
      <c r="C319" s="4"/>
      <c r="D319" s="4"/>
      <c r="E319" s="4"/>
      <c r="F319" s="4"/>
      <c r="G319" s="4"/>
      <c r="H319" s="4"/>
      <c r="I319" s="4"/>
    </row>
    <row r="320" spans="2:9" x14ac:dyDescent="0.2">
      <c r="B320" s="4"/>
      <c r="C320" s="4"/>
      <c r="D320" s="4"/>
      <c r="E320" s="4"/>
      <c r="F320" s="4"/>
      <c r="G320" s="4"/>
      <c r="H320" s="4"/>
      <c r="I320" s="4"/>
    </row>
    <row r="321" spans="2:9" x14ac:dyDescent="0.2">
      <c r="B321" s="4"/>
      <c r="C321" s="4"/>
      <c r="D321" s="4"/>
      <c r="E321" s="4"/>
      <c r="F321" s="4"/>
      <c r="G321" s="4"/>
      <c r="H321" s="4"/>
      <c r="I321" s="4"/>
    </row>
    <row r="322" spans="2:9" x14ac:dyDescent="0.2">
      <c r="B322" s="4"/>
      <c r="C322" s="4"/>
      <c r="D322" s="4"/>
      <c r="E322" s="4"/>
      <c r="F322" s="4"/>
      <c r="G322" s="4"/>
      <c r="H322" s="4"/>
      <c r="I322" s="4"/>
    </row>
    <row r="323" spans="2:9" x14ac:dyDescent="0.2">
      <c r="B323" s="4"/>
      <c r="C323" s="4"/>
      <c r="D323" s="4"/>
      <c r="E323" s="4"/>
      <c r="F323" s="4"/>
      <c r="G323" s="4"/>
      <c r="H323" s="4"/>
      <c r="I323" s="4"/>
    </row>
    <row r="324" spans="2:9" x14ac:dyDescent="0.2">
      <c r="B324" s="4"/>
      <c r="C324" s="4"/>
      <c r="D324" s="4"/>
      <c r="E324" s="4"/>
      <c r="F324" s="4"/>
      <c r="G324" s="4"/>
      <c r="H324" s="4"/>
      <c r="I324" s="4"/>
    </row>
    <row r="325" spans="2:9" x14ac:dyDescent="0.2">
      <c r="B325" s="4"/>
      <c r="C325" s="4"/>
      <c r="D325" s="4"/>
      <c r="E325" s="4"/>
      <c r="F325" s="4"/>
      <c r="G325" s="4"/>
      <c r="H325" s="4"/>
      <c r="I325" s="4"/>
    </row>
    <row r="326" spans="2:9" x14ac:dyDescent="0.2">
      <c r="B326" s="4"/>
      <c r="C326" s="4"/>
      <c r="D326" s="4"/>
      <c r="E326" s="4"/>
      <c r="F326" s="4"/>
      <c r="G326" s="4"/>
      <c r="H326" s="4"/>
      <c r="I326" s="4"/>
    </row>
    <row r="327" spans="2:9" x14ac:dyDescent="0.2">
      <c r="B327" s="4"/>
      <c r="C327" s="4"/>
      <c r="D327" s="4"/>
      <c r="E327" s="4"/>
      <c r="F327" s="4"/>
      <c r="G327" s="4"/>
      <c r="H327" s="4"/>
      <c r="I327" s="4"/>
    </row>
    <row r="328" spans="2:9" x14ac:dyDescent="0.2">
      <c r="B328" s="4"/>
      <c r="C328" s="4"/>
      <c r="D328" s="4"/>
      <c r="E328" s="4"/>
      <c r="F328" s="4"/>
      <c r="G328" s="4"/>
      <c r="H328" s="4"/>
      <c r="I328" s="4"/>
    </row>
    <row r="329" spans="2:9" x14ac:dyDescent="0.2">
      <c r="B329" s="4"/>
      <c r="C329" s="4"/>
      <c r="D329" s="4"/>
      <c r="E329" s="4"/>
      <c r="F329" s="4"/>
      <c r="G329" s="4"/>
      <c r="H329" s="4"/>
      <c r="I329" s="4"/>
    </row>
    <row r="330" spans="2:9" x14ac:dyDescent="0.2">
      <c r="B330" s="4"/>
      <c r="C330" s="4"/>
      <c r="D330" s="4"/>
      <c r="E330" s="4"/>
      <c r="F330" s="4"/>
      <c r="G330" s="4"/>
      <c r="H330" s="4"/>
      <c r="I330" s="4"/>
    </row>
    <row r="331" spans="2:9" x14ac:dyDescent="0.2">
      <c r="B331" s="4"/>
      <c r="C331" s="4"/>
      <c r="D331" s="4"/>
      <c r="E331" s="4"/>
      <c r="F331" s="4"/>
      <c r="G331" s="4"/>
      <c r="H331" s="4"/>
      <c r="I331" s="4"/>
    </row>
    <row r="332" spans="2:9" x14ac:dyDescent="0.2">
      <c r="B332" s="4"/>
      <c r="C332" s="4"/>
      <c r="D332" s="4"/>
      <c r="E332" s="4"/>
      <c r="F332" s="4"/>
      <c r="G332" s="4"/>
      <c r="H332" s="4"/>
      <c r="I332" s="4"/>
    </row>
    <row r="333" spans="2:9" x14ac:dyDescent="0.2">
      <c r="B333" s="4"/>
      <c r="C333" s="4"/>
      <c r="D333" s="4"/>
      <c r="E333" s="4"/>
      <c r="F333" s="4"/>
      <c r="G333" s="4"/>
      <c r="H333" s="4"/>
      <c r="I333" s="4"/>
    </row>
    <row r="334" spans="2:9" x14ac:dyDescent="0.2">
      <c r="B334" s="4"/>
      <c r="C334" s="4"/>
      <c r="D334" s="4"/>
      <c r="E334" s="4"/>
      <c r="F334" s="4"/>
      <c r="G334" s="4"/>
      <c r="H334" s="4"/>
      <c r="I334" s="4"/>
    </row>
    <row r="335" spans="2:9" x14ac:dyDescent="0.2">
      <c r="B335" s="4"/>
      <c r="C335" s="4"/>
      <c r="D335" s="4"/>
      <c r="E335" s="4"/>
      <c r="F335" s="4"/>
      <c r="G335" s="4"/>
      <c r="H335" s="4"/>
      <c r="I335" s="4"/>
    </row>
    <row r="336" spans="2:9" x14ac:dyDescent="0.2">
      <c r="B336" s="4"/>
      <c r="C336" s="4"/>
      <c r="D336" s="4"/>
      <c r="E336" s="4"/>
      <c r="F336" s="4"/>
      <c r="G336" s="4"/>
      <c r="H336" s="4"/>
      <c r="I336" s="4"/>
    </row>
    <row r="337" spans="2:9" x14ac:dyDescent="0.2">
      <c r="B337" s="4"/>
      <c r="C337" s="4"/>
      <c r="D337" s="4"/>
      <c r="E337" s="4"/>
      <c r="F337" s="4"/>
      <c r="G337" s="4"/>
      <c r="H337" s="4"/>
      <c r="I337" s="4"/>
    </row>
    <row r="338" spans="2:9" x14ac:dyDescent="0.2">
      <c r="B338" s="4"/>
      <c r="C338" s="4"/>
      <c r="D338" s="4"/>
      <c r="E338" s="4"/>
      <c r="F338" s="4"/>
      <c r="G338" s="4"/>
      <c r="H338" s="4"/>
      <c r="I338" s="4"/>
    </row>
    <row r="339" spans="2:9" x14ac:dyDescent="0.2">
      <c r="B339" s="4"/>
      <c r="C339" s="4"/>
      <c r="D339" s="4"/>
      <c r="E339" s="4"/>
      <c r="F339" s="4"/>
      <c r="G339" s="4"/>
      <c r="H339" s="4"/>
      <c r="I339" s="4"/>
    </row>
    <row r="340" spans="2:9" x14ac:dyDescent="0.2">
      <c r="B340" s="4"/>
      <c r="C340" s="4"/>
      <c r="D340" s="4"/>
      <c r="E340" s="4"/>
      <c r="F340" s="4"/>
      <c r="G340" s="4"/>
      <c r="H340" s="4"/>
      <c r="I340" s="4"/>
    </row>
    <row r="341" spans="2:9" x14ac:dyDescent="0.2">
      <c r="B341" s="4"/>
      <c r="C341" s="4"/>
      <c r="D341" s="4"/>
      <c r="E341" s="4"/>
      <c r="F341" s="4"/>
      <c r="G341" s="4"/>
      <c r="H341" s="4"/>
      <c r="I341" s="4"/>
    </row>
    <row r="342" spans="2:9" x14ac:dyDescent="0.2">
      <c r="B342" s="4"/>
      <c r="C342" s="4"/>
      <c r="D342" s="4"/>
      <c r="E342" s="4"/>
      <c r="F342" s="4"/>
      <c r="G342" s="4"/>
      <c r="H342" s="4"/>
      <c r="I342" s="4"/>
    </row>
    <row r="343" spans="2:9" x14ac:dyDescent="0.2">
      <c r="B343" s="4"/>
      <c r="C343" s="4"/>
      <c r="D343" s="4"/>
      <c r="E343" s="4"/>
      <c r="F343" s="4"/>
      <c r="G343" s="4"/>
      <c r="H343" s="4"/>
      <c r="I343" s="4"/>
    </row>
    <row r="344" spans="2:9" x14ac:dyDescent="0.2">
      <c r="B344" s="4"/>
      <c r="C344" s="4"/>
      <c r="D344" s="4"/>
      <c r="E344" s="4"/>
      <c r="F344" s="4"/>
      <c r="G344" s="4"/>
      <c r="H344" s="4"/>
      <c r="I344" s="4"/>
    </row>
    <row r="345" spans="2:9" x14ac:dyDescent="0.2">
      <c r="B345" s="4"/>
      <c r="C345" s="4"/>
      <c r="D345" s="4"/>
      <c r="E345" s="4"/>
      <c r="F345" s="4"/>
      <c r="G345" s="4"/>
      <c r="H345" s="4"/>
      <c r="I345" s="4"/>
    </row>
    <row r="346" spans="2:9" x14ac:dyDescent="0.2">
      <c r="B346" s="4"/>
      <c r="C346" s="4"/>
      <c r="D346" s="4"/>
      <c r="E346" s="4"/>
      <c r="F346" s="4"/>
      <c r="G346" s="4"/>
      <c r="H346" s="4"/>
      <c r="I346" s="4"/>
    </row>
    <row r="347" spans="2:9" x14ac:dyDescent="0.2">
      <c r="B347" s="4"/>
      <c r="C347" s="4"/>
      <c r="D347" s="4"/>
      <c r="E347" s="4"/>
      <c r="F347" s="4"/>
      <c r="G347" s="4"/>
      <c r="H347" s="4"/>
      <c r="I347" s="4"/>
    </row>
    <row r="348" spans="2:9" x14ac:dyDescent="0.2">
      <c r="B348" s="4"/>
      <c r="C348" s="4"/>
      <c r="D348" s="4"/>
      <c r="E348" s="4"/>
      <c r="F348" s="4"/>
      <c r="G348" s="4"/>
      <c r="H348" s="4"/>
      <c r="I348" s="4"/>
    </row>
    <row r="349" spans="2:9" x14ac:dyDescent="0.2">
      <c r="B349" s="4"/>
      <c r="C349" s="4"/>
      <c r="D349" s="4"/>
      <c r="E349" s="4"/>
      <c r="F349" s="4"/>
      <c r="G349" s="4"/>
      <c r="H349" s="4"/>
      <c r="I349" s="4"/>
    </row>
    <row r="350" spans="2:9" x14ac:dyDescent="0.2">
      <c r="B350" s="4"/>
      <c r="C350" s="4"/>
      <c r="D350" s="4"/>
      <c r="E350" s="4"/>
      <c r="F350" s="4"/>
      <c r="G350" s="4"/>
      <c r="H350" s="4"/>
      <c r="I350" s="4"/>
    </row>
    <row r="351" spans="2:9" x14ac:dyDescent="0.2">
      <c r="B351" s="4"/>
      <c r="C351" s="4"/>
      <c r="D351" s="4"/>
      <c r="E351" s="4"/>
      <c r="F351" s="4"/>
      <c r="G351" s="4"/>
      <c r="H351" s="4"/>
      <c r="I351" s="4"/>
    </row>
    <row r="352" spans="2:9" x14ac:dyDescent="0.2">
      <c r="B352" s="4"/>
      <c r="C352" s="4"/>
      <c r="D352" s="4"/>
      <c r="E352" s="4"/>
      <c r="F352" s="4"/>
      <c r="G352" s="4"/>
      <c r="H352" s="4"/>
      <c r="I352" s="4"/>
    </row>
    <row r="353" spans="2:9" x14ac:dyDescent="0.2">
      <c r="B353" s="4"/>
      <c r="C353" s="4"/>
      <c r="D353" s="4"/>
      <c r="E353" s="4"/>
      <c r="F353" s="4"/>
      <c r="G353" s="4"/>
      <c r="H353" s="4"/>
      <c r="I353" s="4"/>
    </row>
    <row r="354" spans="2:9" x14ac:dyDescent="0.2">
      <c r="B354" s="4"/>
      <c r="C354" s="4"/>
      <c r="D354" s="4"/>
      <c r="E354" s="4"/>
      <c r="F354" s="4"/>
      <c r="G354" s="4"/>
      <c r="H354" s="4"/>
      <c r="I354" s="4"/>
    </row>
    <row r="355" spans="2:9" x14ac:dyDescent="0.2">
      <c r="B355" s="4"/>
      <c r="C355" s="4"/>
      <c r="D355" s="4"/>
      <c r="E355" s="4"/>
      <c r="F355" s="4"/>
      <c r="G355" s="4"/>
      <c r="H355" s="4"/>
      <c r="I355" s="4"/>
    </row>
    <row r="356" spans="2:9" x14ac:dyDescent="0.2">
      <c r="B356" s="4"/>
      <c r="C356" s="4"/>
      <c r="D356" s="4"/>
      <c r="E356" s="4"/>
      <c r="F356" s="4"/>
      <c r="G356" s="4"/>
      <c r="H356" s="4"/>
      <c r="I356" s="4"/>
    </row>
    <row r="357" spans="2:9" x14ac:dyDescent="0.2">
      <c r="B357" s="4"/>
      <c r="C357" s="4"/>
      <c r="D357" s="4"/>
      <c r="E357" s="4"/>
      <c r="F357" s="4"/>
      <c r="G357" s="4"/>
      <c r="H357" s="4"/>
      <c r="I357" s="4"/>
    </row>
    <row r="358" spans="2:9" x14ac:dyDescent="0.2">
      <c r="B358" s="4"/>
      <c r="C358" s="4"/>
      <c r="D358" s="4"/>
      <c r="E358" s="4"/>
      <c r="F358" s="4"/>
      <c r="G358" s="4"/>
      <c r="H358" s="4"/>
      <c r="I358" s="4"/>
    </row>
    <row r="359" spans="2:9" x14ac:dyDescent="0.2">
      <c r="B359" s="4"/>
      <c r="C359" s="4"/>
      <c r="D359" s="4"/>
      <c r="E359" s="4"/>
      <c r="F359" s="4"/>
      <c r="G359" s="4"/>
      <c r="H359" s="4"/>
      <c r="I359" s="4"/>
    </row>
    <row r="360" spans="2:9" x14ac:dyDescent="0.2">
      <c r="B360" s="4"/>
      <c r="C360" s="4"/>
      <c r="D360" s="4"/>
      <c r="E360" s="4"/>
      <c r="F360" s="4"/>
      <c r="G360" s="4"/>
      <c r="H360" s="4"/>
      <c r="I360" s="4"/>
    </row>
    <row r="361" spans="2:9" x14ac:dyDescent="0.2">
      <c r="B361" s="4"/>
      <c r="C361" s="4"/>
      <c r="D361" s="4"/>
      <c r="E361" s="4"/>
      <c r="F361" s="4"/>
      <c r="G361" s="4"/>
      <c r="H361" s="4"/>
      <c r="I361" s="4"/>
    </row>
    <row r="362" spans="2:9" x14ac:dyDescent="0.2">
      <c r="B362" s="4"/>
      <c r="C362" s="4"/>
      <c r="D362" s="4"/>
      <c r="E362" s="4"/>
      <c r="F362" s="4"/>
      <c r="G362" s="4"/>
      <c r="H362" s="4"/>
      <c r="I362" s="4"/>
    </row>
    <row r="363" spans="2:9" x14ac:dyDescent="0.2">
      <c r="B363" s="4"/>
      <c r="C363" s="4"/>
      <c r="D363" s="4"/>
      <c r="E363" s="4"/>
      <c r="F363" s="4"/>
      <c r="G363" s="4"/>
      <c r="H363" s="4"/>
      <c r="I363" s="4"/>
    </row>
    <row r="364" spans="2:9" x14ac:dyDescent="0.2">
      <c r="B364" s="4"/>
      <c r="C364" s="4"/>
      <c r="D364" s="4"/>
      <c r="E364" s="4"/>
      <c r="F364" s="4"/>
      <c r="G364" s="4"/>
      <c r="H364" s="4"/>
      <c r="I364" s="4"/>
    </row>
    <row r="365" spans="2:9" x14ac:dyDescent="0.2">
      <c r="B365" s="4"/>
      <c r="C365" s="4"/>
      <c r="D365" s="4"/>
      <c r="E365" s="4"/>
      <c r="F365" s="4"/>
      <c r="G365" s="4"/>
      <c r="H365" s="4"/>
      <c r="I365" s="4"/>
    </row>
    <row r="366" spans="2:9" x14ac:dyDescent="0.2">
      <c r="B366" s="4"/>
      <c r="C366" s="4"/>
      <c r="D366" s="4"/>
      <c r="E366" s="4"/>
      <c r="F366" s="4"/>
      <c r="G366" s="4"/>
      <c r="H366" s="4"/>
      <c r="I366" s="4"/>
    </row>
    <row r="367" spans="2:9" x14ac:dyDescent="0.2">
      <c r="B367" s="4"/>
      <c r="C367" s="4"/>
      <c r="D367" s="4"/>
      <c r="E367" s="4"/>
      <c r="F367" s="4"/>
      <c r="G367" s="4"/>
      <c r="H367" s="4"/>
      <c r="I367" s="4"/>
    </row>
    <row r="368" spans="2:9" x14ac:dyDescent="0.2">
      <c r="B368" s="4"/>
      <c r="C368" s="4"/>
      <c r="D368" s="4"/>
      <c r="E368" s="4"/>
      <c r="F368" s="4"/>
      <c r="G368" s="4"/>
      <c r="H368" s="4"/>
      <c r="I368" s="4"/>
    </row>
    <row r="369" spans="2:9" x14ac:dyDescent="0.2">
      <c r="B369" s="4"/>
      <c r="C369" s="4"/>
      <c r="D369" s="4"/>
      <c r="E369" s="4"/>
      <c r="F369" s="4"/>
      <c r="G369" s="4"/>
      <c r="H369" s="4"/>
      <c r="I369" s="4"/>
    </row>
    <row r="370" spans="2:9" x14ac:dyDescent="0.2">
      <c r="B370" s="4"/>
      <c r="C370" s="4"/>
      <c r="D370" s="4"/>
      <c r="E370" s="4"/>
      <c r="F370" s="4"/>
      <c r="G370" s="4"/>
      <c r="H370" s="4"/>
      <c r="I370" s="4"/>
    </row>
    <row r="371" spans="2:9" x14ac:dyDescent="0.2">
      <c r="B371" s="4"/>
      <c r="C371" s="4"/>
      <c r="D371" s="4"/>
      <c r="E371" s="4"/>
      <c r="F371" s="4"/>
      <c r="G371" s="4"/>
      <c r="H371" s="4"/>
      <c r="I371" s="4"/>
    </row>
    <row r="372" spans="2:9" x14ac:dyDescent="0.2">
      <c r="B372" s="4"/>
      <c r="C372" s="4"/>
      <c r="D372" s="4"/>
      <c r="E372" s="4"/>
      <c r="F372" s="4"/>
      <c r="G372" s="4"/>
      <c r="H372" s="4"/>
      <c r="I372" s="4"/>
    </row>
    <row r="373" spans="2:9" x14ac:dyDescent="0.2">
      <c r="B373" s="4"/>
      <c r="C373" s="4"/>
      <c r="D373" s="4"/>
      <c r="E373" s="4"/>
      <c r="F373" s="4"/>
      <c r="G373" s="4"/>
      <c r="H373" s="4"/>
      <c r="I373" s="4"/>
    </row>
    <row r="374" spans="2:9" x14ac:dyDescent="0.2">
      <c r="B374" s="4"/>
      <c r="C374" s="4"/>
      <c r="D374" s="4"/>
      <c r="E374" s="4"/>
      <c r="F374" s="4"/>
      <c r="G374" s="4"/>
      <c r="H374" s="4"/>
      <c r="I374" s="4"/>
    </row>
    <row r="375" spans="2:9" x14ac:dyDescent="0.2">
      <c r="B375" s="4"/>
      <c r="C375" s="4"/>
      <c r="D375" s="4"/>
      <c r="E375" s="4"/>
      <c r="F375" s="4"/>
      <c r="G375" s="4"/>
      <c r="H375" s="4"/>
      <c r="I375" s="4"/>
    </row>
    <row r="376" spans="2:9" x14ac:dyDescent="0.2">
      <c r="B376" s="4"/>
      <c r="C376" s="4"/>
      <c r="D376" s="4"/>
      <c r="E376" s="4"/>
      <c r="F376" s="4"/>
      <c r="G376" s="4"/>
      <c r="H376" s="4"/>
      <c r="I376" s="4"/>
    </row>
    <row r="377" spans="2:9" x14ac:dyDescent="0.2">
      <c r="B377" s="4"/>
      <c r="C377" s="4"/>
      <c r="D377" s="4"/>
      <c r="E377" s="4"/>
      <c r="F377" s="4"/>
      <c r="G377" s="4"/>
      <c r="H377" s="4"/>
      <c r="I377" s="4"/>
    </row>
    <row r="378" spans="2:9" x14ac:dyDescent="0.2">
      <c r="B378" s="4"/>
      <c r="C378" s="4"/>
      <c r="D378" s="4"/>
      <c r="E378" s="4"/>
      <c r="F378" s="4"/>
      <c r="G378" s="4"/>
      <c r="H378" s="4"/>
      <c r="I378" s="4"/>
    </row>
    <row r="379" spans="2:9" x14ac:dyDescent="0.2">
      <c r="B379" s="4"/>
      <c r="C379" s="4"/>
      <c r="D379" s="4"/>
      <c r="E379" s="4"/>
      <c r="F379" s="4"/>
      <c r="G379" s="4"/>
      <c r="H379" s="4"/>
      <c r="I379" s="4"/>
    </row>
    <row r="380" spans="2:9" x14ac:dyDescent="0.2">
      <c r="B380" s="4"/>
      <c r="C380" s="4"/>
      <c r="D380" s="4"/>
      <c r="E380" s="4"/>
      <c r="F380" s="4"/>
      <c r="G380" s="4"/>
      <c r="H380" s="4"/>
      <c r="I380" s="4"/>
    </row>
    <row r="381" spans="2:9" x14ac:dyDescent="0.2">
      <c r="B381" s="4"/>
      <c r="C381" s="4"/>
      <c r="D381" s="4"/>
      <c r="E381" s="4"/>
      <c r="F381" s="4"/>
      <c r="G381" s="4"/>
      <c r="H381" s="4"/>
      <c r="I381" s="4"/>
    </row>
    <row r="382" spans="2:9" x14ac:dyDescent="0.2">
      <c r="B382" s="4"/>
      <c r="C382" s="4"/>
      <c r="D382" s="4"/>
      <c r="E382" s="4"/>
      <c r="F382" s="4"/>
      <c r="G382" s="4"/>
      <c r="H382" s="4"/>
      <c r="I382" s="4"/>
    </row>
    <row r="383" spans="2:9" x14ac:dyDescent="0.2">
      <c r="B383" s="4"/>
      <c r="C383" s="4"/>
      <c r="D383" s="4"/>
      <c r="E383" s="4"/>
      <c r="F383" s="4"/>
      <c r="G383" s="4"/>
      <c r="H383" s="4"/>
      <c r="I383" s="4"/>
    </row>
    <row r="384" spans="2:9" x14ac:dyDescent="0.2">
      <c r="B384" s="4"/>
      <c r="C384" s="4"/>
      <c r="D384" s="4"/>
      <c r="E384" s="4"/>
      <c r="F384" s="4"/>
      <c r="G384" s="4"/>
      <c r="H384" s="4"/>
      <c r="I384" s="4"/>
    </row>
    <row r="385" spans="2:9" x14ac:dyDescent="0.2">
      <c r="B385" s="4"/>
      <c r="C385" s="4"/>
      <c r="D385" s="4"/>
      <c r="E385" s="4"/>
      <c r="F385" s="4"/>
      <c r="G385" s="4"/>
      <c r="H385" s="4"/>
      <c r="I385" s="4"/>
    </row>
    <row r="386" spans="2:9" x14ac:dyDescent="0.2">
      <c r="B386" s="4"/>
      <c r="C386" s="4"/>
      <c r="D386" s="4"/>
      <c r="E386" s="4"/>
      <c r="F386" s="4"/>
      <c r="G386" s="4"/>
      <c r="H386" s="4"/>
      <c r="I386" s="4"/>
    </row>
    <row r="387" spans="2:9" x14ac:dyDescent="0.2">
      <c r="B387" s="4"/>
      <c r="C387" s="4"/>
      <c r="D387" s="4"/>
      <c r="E387" s="4"/>
      <c r="F387" s="4"/>
      <c r="G387" s="4"/>
      <c r="H387" s="4"/>
      <c r="I387" s="4"/>
    </row>
    <row r="388" spans="2:9" x14ac:dyDescent="0.2">
      <c r="B388" s="4"/>
      <c r="C388" s="4"/>
      <c r="D388" s="4"/>
      <c r="E388" s="4"/>
      <c r="F388" s="4"/>
      <c r="G388" s="4"/>
      <c r="H388" s="4"/>
      <c r="I388" s="4"/>
    </row>
    <row r="389" spans="2:9" x14ac:dyDescent="0.2">
      <c r="B389" s="4"/>
      <c r="C389" s="4"/>
      <c r="D389" s="4"/>
      <c r="E389" s="4"/>
      <c r="F389" s="4"/>
      <c r="G389" s="4"/>
      <c r="H389" s="4"/>
      <c r="I389" s="4"/>
    </row>
    <row r="390" spans="2:9" x14ac:dyDescent="0.2">
      <c r="B390" s="4"/>
      <c r="C390" s="4"/>
      <c r="D390" s="4"/>
      <c r="E390" s="4"/>
      <c r="F390" s="4"/>
      <c r="G390" s="4"/>
      <c r="H390" s="4"/>
      <c r="I390" s="4"/>
    </row>
    <row r="391" spans="2:9" x14ac:dyDescent="0.2">
      <c r="B391" s="4"/>
      <c r="C391" s="4"/>
      <c r="D391" s="4"/>
      <c r="E391" s="4"/>
      <c r="F391" s="4"/>
      <c r="G391" s="4"/>
      <c r="H391" s="4"/>
      <c r="I391" s="4"/>
    </row>
    <row r="392" spans="2:9" x14ac:dyDescent="0.2">
      <c r="B392" s="4"/>
      <c r="C392" s="4"/>
      <c r="D392" s="4"/>
      <c r="E392" s="4"/>
      <c r="F392" s="4"/>
      <c r="G392" s="4"/>
      <c r="H392" s="4"/>
      <c r="I392" s="4"/>
    </row>
    <row r="393" spans="2:9" x14ac:dyDescent="0.2">
      <c r="B393" s="4"/>
      <c r="C393" s="4"/>
      <c r="D393" s="4"/>
      <c r="E393" s="4"/>
      <c r="F393" s="4"/>
      <c r="G393" s="4"/>
      <c r="H393" s="4"/>
      <c r="I393" s="4"/>
    </row>
    <row r="394" spans="2:9" x14ac:dyDescent="0.2">
      <c r="B394" s="4"/>
      <c r="C394" s="4"/>
      <c r="D394" s="4"/>
      <c r="E394" s="4"/>
      <c r="F394" s="4"/>
      <c r="G394" s="4"/>
      <c r="H394" s="4"/>
      <c r="I394" s="4"/>
    </row>
    <row r="395" spans="2:9" x14ac:dyDescent="0.2">
      <c r="B395" s="4"/>
      <c r="C395" s="4"/>
      <c r="D395" s="4"/>
      <c r="E395" s="4"/>
      <c r="F395" s="4"/>
      <c r="G395" s="4"/>
      <c r="H395" s="4"/>
      <c r="I395" s="4"/>
    </row>
    <row r="396" spans="2:9" x14ac:dyDescent="0.2">
      <c r="B396" s="4"/>
      <c r="C396" s="4"/>
      <c r="D396" s="4"/>
      <c r="E396" s="4"/>
      <c r="F396" s="4"/>
      <c r="G396" s="4"/>
      <c r="H396" s="4"/>
      <c r="I396" s="4"/>
    </row>
    <row r="397" spans="2:9" x14ac:dyDescent="0.2">
      <c r="B397" s="4"/>
      <c r="C397" s="4"/>
      <c r="D397" s="4"/>
      <c r="E397" s="4"/>
      <c r="F397" s="4"/>
      <c r="G397" s="4"/>
      <c r="H397" s="4"/>
      <c r="I397" s="4"/>
    </row>
    <row r="398" spans="2:9" x14ac:dyDescent="0.2">
      <c r="B398" s="4"/>
      <c r="C398" s="4"/>
      <c r="D398" s="4"/>
      <c r="E398" s="4"/>
      <c r="F398" s="4"/>
      <c r="G398" s="4"/>
      <c r="H398" s="4"/>
      <c r="I398" s="4"/>
    </row>
    <row r="399" spans="2:9" x14ac:dyDescent="0.2">
      <c r="B399" s="4"/>
      <c r="C399" s="4"/>
      <c r="D399" s="4"/>
      <c r="E399" s="4"/>
      <c r="F399" s="4"/>
      <c r="G399" s="4"/>
      <c r="H399" s="4"/>
      <c r="I399" s="4"/>
    </row>
    <row r="400" spans="2:9" x14ac:dyDescent="0.2">
      <c r="B400" s="4"/>
      <c r="C400" s="4"/>
      <c r="D400" s="4"/>
      <c r="E400" s="4"/>
      <c r="F400" s="4"/>
      <c r="G400" s="4"/>
      <c r="H400" s="4"/>
      <c r="I400" s="4"/>
    </row>
    <row r="401" spans="2:9" x14ac:dyDescent="0.2">
      <c r="B401" s="4"/>
      <c r="C401" s="4"/>
      <c r="D401" s="4"/>
      <c r="E401" s="4"/>
      <c r="F401" s="4"/>
      <c r="G401" s="4"/>
      <c r="H401" s="4"/>
      <c r="I401" s="4"/>
    </row>
    <row r="402" spans="2:9" x14ac:dyDescent="0.2">
      <c r="B402" s="4"/>
      <c r="C402" s="4"/>
      <c r="D402" s="4"/>
      <c r="E402" s="4"/>
      <c r="F402" s="4"/>
      <c r="G402" s="4"/>
      <c r="H402" s="4"/>
      <c r="I402" s="4"/>
    </row>
    <row r="403" spans="2:9" x14ac:dyDescent="0.2">
      <c r="B403" s="4"/>
      <c r="C403" s="4"/>
      <c r="D403" s="4"/>
      <c r="E403" s="4"/>
      <c r="F403" s="4"/>
      <c r="G403" s="4"/>
      <c r="H403" s="4"/>
      <c r="I403" s="4"/>
    </row>
    <row r="404" spans="2:9" x14ac:dyDescent="0.2">
      <c r="B404" s="4"/>
      <c r="C404" s="4"/>
      <c r="D404" s="4"/>
      <c r="E404" s="4"/>
      <c r="F404" s="4"/>
      <c r="G404" s="4"/>
      <c r="H404" s="4"/>
      <c r="I404" s="4"/>
    </row>
    <row r="405" spans="2:9" x14ac:dyDescent="0.2">
      <c r="B405" s="4"/>
      <c r="C405" s="4"/>
      <c r="D405" s="4"/>
      <c r="E405" s="4"/>
      <c r="F405" s="4"/>
      <c r="G405" s="4"/>
      <c r="H405" s="4"/>
      <c r="I405" s="4"/>
    </row>
    <row r="406" spans="2:9" x14ac:dyDescent="0.2">
      <c r="B406" s="4"/>
      <c r="C406" s="4"/>
      <c r="D406" s="4"/>
      <c r="E406" s="4"/>
      <c r="F406" s="4"/>
      <c r="G406" s="4"/>
      <c r="H406" s="4"/>
      <c r="I406" s="4"/>
    </row>
    <row r="407" spans="2:9" x14ac:dyDescent="0.2">
      <c r="B407" s="4"/>
      <c r="C407" s="4"/>
      <c r="D407" s="4"/>
      <c r="E407" s="4"/>
      <c r="F407" s="4"/>
      <c r="G407" s="4"/>
      <c r="H407" s="4"/>
      <c r="I407" s="4"/>
    </row>
    <row r="408" spans="2:9" x14ac:dyDescent="0.2">
      <c r="B408" s="4"/>
      <c r="C408" s="4"/>
      <c r="D408" s="4"/>
      <c r="E408" s="4"/>
      <c r="F408" s="4"/>
      <c r="G408" s="4"/>
      <c r="H408" s="4"/>
      <c r="I408" s="4"/>
    </row>
    <row r="409" spans="2:9" x14ac:dyDescent="0.2">
      <c r="B409" s="4"/>
      <c r="C409" s="4"/>
      <c r="D409" s="4"/>
      <c r="E409" s="4"/>
      <c r="F409" s="4"/>
      <c r="G409" s="4"/>
      <c r="H409" s="4"/>
      <c r="I409" s="4"/>
    </row>
    <row r="410" spans="2:9" x14ac:dyDescent="0.2">
      <c r="B410" s="4"/>
      <c r="C410" s="4"/>
      <c r="D410" s="4"/>
      <c r="E410" s="4"/>
      <c r="F410" s="4"/>
      <c r="G410" s="4"/>
      <c r="H410" s="4"/>
      <c r="I410" s="4"/>
    </row>
    <row r="411" spans="2:9" x14ac:dyDescent="0.2">
      <c r="B411" s="4"/>
      <c r="C411" s="4"/>
      <c r="D411" s="4"/>
      <c r="E411" s="4"/>
      <c r="F411" s="4"/>
      <c r="G411" s="4"/>
      <c r="H411" s="4"/>
      <c r="I411" s="4"/>
    </row>
    <row r="412" spans="2:9" x14ac:dyDescent="0.2">
      <c r="B412" s="4"/>
      <c r="C412" s="4"/>
      <c r="D412" s="4"/>
      <c r="E412" s="4"/>
      <c r="F412" s="4"/>
      <c r="G412" s="4"/>
      <c r="H412" s="4"/>
      <c r="I412" s="4"/>
    </row>
    <row r="413" spans="2:9" x14ac:dyDescent="0.2">
      <c r="B413" s="4"/>
      <c r="C413" s="4"/>
      <c r="D413" s="4"/>
      <c r="E413" s="4"/>
      <c r="F413" s="4"/>
      <c r="G413" s="4"/>
      <c r="H413" s="4"/>
      <c r="I413" s="4"/>
    </row>
    <row r="414" spans="2:9" x14ac:dyDescent="0.2">
      <c r="B414" s="4"/>
      <c r="C414" s="4"/>
      <c r="D414" s="4"/>
      <c r="E414" s="4"/>
      <c r="F414" s="4"/>
      <c r="G414" s="4"/>
      <c r="H414" s="4"/>
      <c r="I414" s="4"/>
    </row>
    <row r="415" spans="2:9" x14ac:dyDescent="0.2">
      <c r="B415" s="4"/>
      <c r="C415" s="4"/>
      <c r="D415" s="4"/>
      <c r="E415" s="4"/>
      <c r="F415" s="4"/>
      <c r="G415" s="4"/>
      <c r="H415" s="4"/>
      <c r="I415" s="4"/>
    </row>
    <row r="416" spans="2:9" x14ac:dyDescent="0.2">
      <c r="B416" s="4"/>
      <c r="C416" s="4"/>
      <c r="D416" s="4"/>
      <c r="E416" s="4"/>
      <c r="F416" s="4"/>
      <c r="G416" s="4"/>
      <c r="H416" s="4"/>
      <c r="I416" s="4"/>
    </row>
    <row r="417" spans="2:9" x14ac:dyDescent="0.2">
      <c r="B417" s="4"/>
      <c r="C417" s="4"/>
      <c r="D417" s="4"/>
      <c r="E417" s="4"/>
      <c r="F417" s="4"/>
      <c r="G417" s="4"/>
      <c r="H417" s="4"/>
      <c r="I417" s="4"/>
    </row>
    <row r="418" spans="2:9" x14ac:dyDescent="0.2">
      <c r="B418" s="4"/>
      <c r="C418" s="4"/>
      <c r="D418" s="4"/>
      <c r="E418" s="4"/>
      <c r="F418" s="4"/>
      <c r="G418" s="4"/>
      <c r="H418" s="4"/>
      <c r="I418" s="4"/>
    </row>
    <row r="419" spans="2:9" x14ac:dyDescent="0.2">
      <c r="B419" s="4"/>
      <c r="C419" s="4"/>
      <c r="D419" s="4"/>
      <c r="E419" s="4"/>
      <c r="F419" s="4"/>
      <c r="G419" s="4"/>
      <c r="H419" s="4"/>
      <c r="I419" s="4"/>
    </row>
    <row r="420" spans="2:9" x14ac:dyDescent="0.2">
      <c r="B420" s="4"/>
      <c r="C420" s="4"/>
      <c r="D420" s="4"/>
      <c r="E420" s="4"/>
      <c r="F420" s="4"/>
      <c r="G420" s="4"/>
      <c r="H420" s="4"/>
      <c r="I420" s="4"/>
    </row>
    <row r="421" spans="2:9" x14ac:dyDescent="0.2">
      <c r="B421" s="4"/>
      <c r="C421" s="4"/>
      <c r="D421" s="4"/>
      <c r="E421" s="4"/>
      <c r="F421" s="4"/>
      <c r="G421" s="4"/>
      <c r="H421" s="4"/>
      <c r="I421" s="4"/>
    </row>
    <row r="422" spans="2:9" x14ac:dyDescent="0.2">
      <c r="B422" s="4"/>
      <c r="C422" s="4"/>
      <c r="D422" s="4"/>
      <c r="E422" s="4"/>
      <c r="F422" s="4"/>
      <c r="G422" s="4"/>
      <c r="H422" s="4"/>
      <c r="I422" s="4"/>
    </row>
    <row r="423" spans="2:9" x14ac:dyDescent="0.2">
      <c r="B423" s="4"/>
      <c r="C423" s="4"/>
      <c r="D423" s="4"/>
      <c r="E423" s="4"/>
      <c r="F423" s="4"/>
      <c r="G423" s="4"/>
      <c r="H423" s="4"/>
      <c r="I423" s="4"/>
    </row>
    <row r="424" spans="2:9" x14ac:dyDescent="0.2">
      <c r="B424" s="4"/>
      <c r="C424" s="4"/>
      <c r="D424" s="4"/>
      <c r="E424" s="4"/>
      <c r="F424" s="4"/>
      <c r="G424" s="4"/>
      <c r="H424" s="4"/>
      <c r="I424" s="4"/>
    </row>
    <row r="425" spans="2:9" x14ac:dyDescent="0.2">
      <c r="B425" s="4"/>
      <c r="C425" s="4"/>
      <c r="D425" s="4"/>
      <c r="E425" s="4"/>
      <c r="F425" s="4"/>
      <c r="G425" s="4"/>
      <c r="H425" s="4"/>
      <c r="I425" s="4"/>
    </row>
    <row r="426" spans="2:9" x14ac:dyDescent="0.2">
      <c r="B426" s="4"/>
      <c r="C426" s="4"/>
      <c r="D426" s="4"/>
      <c r="E426" s="4"/>
      <c r="F426" s="4"/>
      <c r="G426" s="4"/>
      <c r="H426" s="4"/>
      <c r="I426" s="4"/>
    </row>
    <row r="427" spans="2:9" x14ac:dyDescent="0.2">
      <c r="B427" s="4"/>
      <c r="C427" s="4"/>
      <c r="D427" s="4"/>
      <c r="E427" s="4"/>
      <c r="F427" s="4"/>
      <c r="G427" s="4"/>
      <c r="H427" s="4"/>
      <c r="I427" s="4"/>
    </row>
    <row r="428" spans="2:9" x14ac:dyDescent="0.2">
      <c r="B428" s="4"/>
      <c r="C428" s="4"/>
      <c r="D428" s="4"/>
      <c r="E428" s="4"/>
      <c r="F428" s="4"/>
      <c r="G428" s="4"/>
      <c r="H428" s="4"/>
      <c r="I428" s="4"/>
    </row>
    <row r="429" spans="2:9" x14ac:dyDescent="0.2">
      <c r="B429" s="4"/>
      <c r="C429" s="4"/>
      <c r="D429" s="4"/>
      <c r="E429" s="4"/>
      <c r="F429" s="4"/>
      <c r="G429" s="4"/>
      <c r="H429" s="4"/>
      <c r="I429" s="4"/>
    </row>
    <row r="430" spans="2:9" x14ac:dyDescent="0.2">
      <c r="B430" s="4"/>
      <c r="C430" s="4"/>
      <c r="D430" s="4"/>
      <c r="E430" s="4"/>
      <c r="F430" s="4"/>
      <c r="G430" s="4"/>
      <c r="H430" s="4"/>
      <c r="I430" s="4"/>
    </row>
    <row r="431" spans="2:9" x14ac:dyDescent="0.2">
      <c r="B431" s="4"/>
      <c r="C431" s="4"/>
      <c r="D431" s="4"/>
      <c r="E431" s="4"/>
      <c r="F431" s="4"/>
      <c r="G431" s="4"/>
      <c r="H431" s="4"/>
      <c r="I431" s="4"/>
    </row>
    <row r="432" spans="2:9" x14ac:dyDescent="0.2">
      <c r="B432" s="4"/>
      <c r="C432" s="4"/>
      <c r="D432" s="4"/>
      <c r="E432" s="4"/>
      <c r="F432" s="4"/>
      <c r="G432" s="4"/>
      <c r="H432" s="4"/>
      <c r="I432" s="4"/>
    </row>
    <row r="433" spans="2:9" x14ac:dyDescent="0.2">
      <c r="B433" s="4"/>
      <c r="C433" s="4"/>
      <c r="D433" s="4"/>
      <c r="E433" s="4"/>
      <c r="F433" s="4"/>
      <c r="G433" s="4"/>
      <c r="H433" s="4"/>
      <c r="I433" s="4"/>
    </row>
    <row r="434" spans="2:9" x14ac:dyDescent="0.2">
      <c r="B434" s="4"/>
      <c r="C434" s="4"/>
      <c r="D434" s="4"/>
      <c r="E434" s="4"/>
      <c r="F434" s="4"/>
      <c r="G434" s="4"/>
      <c r="H434" s="4"/>
      <c r="I434" s="4"/>
    </row>
    <row r="435" spans="2:9" x14ac:dyDescent="0.2">
      <c r="B435" s="4"/>
      <c r="C435" s="4"/>
      <c r="D435" s="4"/>
      <c r="E435" s="4"/>
      <c r="F435" s="4"/>
      <c r="G435" s="4"/>
      <c r="H435" s="4"/>
      <c r="I435" s="4"/>
    </row>
    <row r="436" spans="2:9" x14ac:dyDescent="0.2">
      <c r="B436" s="4"/>
      <c r="C436" s="4"/>
      <c r="D436" s="4"/>
      <c r="E436" s="4"/>
      <c r="F436" s="4"/>
      <c r="G436" s="4"/>
      <c r="H436" s="4"/>
      <c r="I436" s="4"/>
    </row>
    <row r="437" spans="2:9" x14ac:dyDescent="0.2">
      <c r="B437" s="4"/>
      <c r="C437" s="4"/>
      <c r="D437" s="4"/>
      <c r="E437" s="4"/>
      <c r="F437" s="4"/>
      <c r="G437" s="4"/>
      <c r="H437" s="4"/>
      <c r="I437" s="4"/>
    </row>
    <row r="438" spans="2:9" x14ac:dyDescent="0.2">
      <c r="B438" s="4"/>
      <c r="C438" s="4"/>
      <c r="D438" s="4"/>
      <c r="E438" s="4"/>
      <c r="F438" s="4"/>
      <c r="G438" s="4"/>
      <c r="H438" s="4"/>
      <c r="I438" s="4"/>
    </row>
    <row r="439" spans="2:9" x14ac:dyDescent="0.2">
      <c r="B439" s="4"/>
      <c r="C439" s="4"/>
      <c r="D439" s="4"/>
      <c r="E439" s="4"/>
      <c r="F439" s="4"/>
      <c r="G439" s="4"/>
      <c r="H439" s="4"/>
      <c r="I439" s="4"/>
    </row>
    <row r="440" spans="2:9" x14ac:dyDescent="0.2">
      <c r="B440" s="4"/>
      <c r="C440" s="4"/>
      <c r="D440" s="4"/>
      <c r="E440" s="4"/>
      <c r="F440" s="4"/>
      <c r="G440" s="4"/>
      <c r="H440" s="4"/>
      <c r="I440" s="4"/>
    </row>
    <row r="441" spans="2:9" x14ac:dyDescent="0.2">
      <c r="B441" s="4"/>
      <c r="C441" s="4"/>
      <c r="D441" s="4"/>
      <c r="E441" s="4"/>
      <c r="F441" s="4"/>
      <c r="G441" s="4"/>
      <c r="H441" s="4"/>
      <c r="I441" s="4"/>
    </row>
    <row r="442" spans="2:9" x14ac:dyDescent="0.2">
      <c r="B442" s="4"/>
      <c r="C442" s="4"/>
      <c r="D442" s="4"/>
      <c r="E442" s="4"/>
      <c r="F442" s="4"/>
      <c r="G442" s="4"/>
      <c r="H442" s="4"/>
      <c r="I442" s="4"/>
    </row>
    <row r="443" spans="2:9" x14ac:dyDescent="0.2">
      <c r="B443" s="4"/>
      <c r="C443" s="4"/>
      <c r="D443" s="4"/>
      <c r="E443" s="4"/>
      <c r="F443" s="4"/>
      <c r="G443" s="4"/>
      <c r="H443" s="4"/>
      <c r="I443" s="4"/>
    </row>
    <row r="444" spans="2:9" x14ac:dyDescent="0.2">
      <c r="B444" s="4"/>
      <c r="C444" s="4"/>
      <c r="D444" s="4"/>
      <c r="E444" s="4"/>
      <c r="F444" s="4"/>
      <c r="G444" s="4"/>
      <c r="H444" s="4"/>
      <c r="I444" s="4"/>
    </row>
    <row r="445" spans="2:9" x14ac:dyDescent="0.2">
      <c r="B445" s="4"/>
      <c r="C445" s="4"/>
      <c r="D445" s="4"/>
      <c r="E445" s="4"/>
      <c r="F445" s="4"/>
      <c r="G445" s="4"/>
      <c r="H445" s="4"/>
      <c r="I445" s="4"/>
    </row>
    <row r="446" spans="2:9" x14ac:dyDescent="0.2">
      <c r="B446" s="4"/>
      <c r="C446" s="4"/>
      <c r="D446" s="4"/>
      <c r="E446" s="4"/>
      <c r="F446" s="4"/>
      <c r="G446" s="4"/>
      <c r="H446" s="4"/>
      <c r="I446" s="4"/>
    </row>
    <row r="447" spans="2:9" x14ac:dyDescent="0.2">
      <c r="B447" s="4"/>
      <c r="C447" s="4"/>
      <c r="D447" s="4"/>
      <c r="E447" s="4"/>
      <c r="F447" s="4"/>
      <c r="G447" s="4"/>
      <c r="H447" s="4"/>
      <c r="I447" s="4"/>
    </row>
    <row r="448" spans="2:9" x14ac:dyDescent="0.2">
      <c r="B448" s="4"/>
      <c r="C448" s="4"/>
      <c r="D448" s="4"/>
      <c r="E448" s="4"/>
      <c r="F448" s="4"/>
      <c r="G448" s="4"/>
      <c r="H448" s="4"/>
      <c r="I448" s="4"/>
    </row>
    <row r="449" spans="2:9" x14ac:dyDescent="0.2">
      <c r="B449" s="4"/>
      <c r="C449" s="4"/>
      <c r="D449" s="4"/>
      <c r="E449" s="4"/>
      <c r="F449" s="4"/>
      <c r="G449" s="4"/>
      <c r="H449" s="4"/>
      <c r="I449" s="4"/>
    </row>
    <row r="450" spans="2:9" x14ac:dyDescent="0.2">
      <c r="B450" s="4"/>
      <c r="C450" s="4"/>
      <c r="D450" s="4"/>
      <c r="E450" s="4"/>
      <c r="F450" s="4"/>
      <c r="G450" s="4"/>
      <c r="H450" s="4"/>
      <c r="I450" s="4"/>
    </row>
    <row r="451" spans="2:9" x14ac:dyDescent="0.2">
      <c r="B451" s="4"/>
      <c r="C451" s="4"/>
      <c r="D451" s="4"/>
      <c r="E451" s="4"/>
      <c r="F451" s="4"/>
      <c r="G451" s="4"/>
      <c r="H451" s="4"/>
      <c r="I451" s="4"/>
    </row>
    <row r="452" spans="2:9" x14ac:dyDescent="0.2">
      <c r="B452" s="4"/>
      <c r="C452" s="4"/>
      <c r="D452" s="4"/>
      <c r="E452" s="4"/>
      <c r="F452" s="4"/>
      <c r="G452" s="4"/>
      <c r="H452" s="4"/>
      <c r="I452" s="4"/>
    </row>
    <row r="453" spans="2:9" x14ac:dyDescent="0.2">
      <c r="B453" s="4"/>
      <c r="C453" s="4"/>
      <c r="D453" s="4"/>
      <c r="E453" s="4"/>
      <c r="F453" s="4"/>
      <c r="G453" s="4"/>
      <c r="H453" s="4"/>
      <c r="I453" s="4"/>
    </row>
    <row r="454" spans="2:9" x14ac:dyDescent="0.2">
      <c r="B454" s="4"/>
      <c r="C454" s="4"/>
      <c r="D454" s="4"/>
      <c r="E454" s="4"/>
      <c r="F454" s="4"/>
      <c r="G454" s="4"/>
      <c r="H454" s="4"/>
      <c r="I454" s="4"/>
    </row>
    <row r="455" spans="2:9" x14ac:dyDescent="0.2">
      <c r="B455" s="4"/>
      <c r="C455" s="4"/>
      <c r="D455" s="4"/>
      <c r="E455" s="4"/>
      <c r="F455" s="4"/>
      <c r="G455" s="4"/>
      <c r="H455" s="4"/>
      <c r="I455" s="4"/>
    </row>
    <row r="456" spans="2:9" x14ac:dyDescent="0.2">
      <c r="B456" s="4"/>
      <c r="C456" s="4"/>
      <c r="D456" s="4"/>
      <c r="E456" s="4"/>
      <c r="F456" s="4"/>
      <c r="G456" s="4"/>
      <c r="H456" s="4"/>
      <c r="I456" s="4"/>
    </row>
    <row r="457" spans="2:9" x14ac:dyDescent="0.2">
      <c r="B457" s="4"/>
      <c r="C457" s="4"/>
      <c r="D457" s="4"/>
      <c r="E457" s="4"/>
      <c r="F457" s="4"/>
      <c r="G457" s="4"/>
      <c r="H457" s="4"/>
      <c r="I457" s="4"/>
    </row>
    <row r="458" spans="2:9" x14ac:dyDescent="0.2">
      <c r="B458" s="4"/>
      <c r="C458" s="4"/>
      <c r="D458" s="4"/>
      <c r="E458" s="4"/>
      <c r="F458" s="4"/>
      <c r="G458" s="4"/>
      <c r="H458" s="4"/>
      <c r="I458" s="4"/>
    </row>
    <row r="459" spans="2:9" x14ac:dyDescent="0.2">
      <c r="B459" s="4"/>
      <c r="C459" s="4"/>
      <c r="D459" s="4"/>
      <c r="E459" s="4"/>
      <c r="F459" s="4"/>
      <c r="G459" s="4"/>
      <c r="H459" s="4"/>
      <c r="I459" s="4"/>
    </row>
    <row r="460" spans="2:9" x14ac:dyDescent="0.2">
      <c r="B460" s="4"/>
      <c r="C460" s="4"/>
      <c r="D460" s="4"/>
      <c r="E460" s="4"/>
      <c r="F460" s="4"/>
      <c r="G460" s="4"/>
      <c r="H460" s="4"/>
      <c r="I460" s="4"/>
    </row>
    <row r="461" spans="2:9" x14ac:dyDescent="0.2">
      <c r="B461" s="4"/>
      <c r="C461" s="4"/>
      <c r="D461" s="4"/>
      <c r="E461" s="4"/>
      <c r="F461" s="4"/>
      <c r="G461" s="4"/>
      <c r="H461" s="4"/>
      <c r="I461" s="4"/>
    </row>
    <row r="462" spans="2:9" x14ac:dyDescent="0.2">
      <c r="B462" s="4"/>
      <c r="C462" s="4"/>
      <c r="D462" s="4"/>
      <c r="E462" s="4"/>
      <c r="F462" s="4"/>
      <c r="G462" s="4"/>
      <c r="H462" s="4"/>
      <c r="I462" s="4"/>
    </row>
    <row r="463" spans="2:9" x14ac:dyDescent="0.2">
      <c r="B463" s="4"/>
      <c r="C463" s="4"/>
      <c r="D463" s="4"/>
      <c r="E463" s="4"/>
      <c r="F463" s="4"/>
      <c r="G463" s="4"/>
      <c r="H463" s="4"/>
      <c r="I463" s="4"/>
    </row>
    <row r="464" spans="2:9" x14ac:dyDescent="0.2">
      <c r="B464" s="4"/>
      <c r="C464" s="4"/>
      <c r="D464" s="4"/>
      <c r="E464" s="4"/>
      <c r="F464" s="4"/>
      <c r="G464" s="4"/>
      <c r="H464" s="4"/>
      <c r="I464" s="4"/>
    </row>
    <row r="465" spans="2:9" x14ac:dyDescent="0.2">
      <c r="B465" s="4"/>
      <c r="C465" s="4"/>
      <c r="D465" s="4"/>
      <c r="E465" s="4"/>
      <c r="F465" s="4"/>
      <c r="G465" s="4"/>
      <c r="H465" s="4"/>
      <c r="I465" s="4"/>
    </row>
    <row r="466" spans="2:9" x14ac:dyDescent="0.2">
      <c r="B466" s="4"/>
      <c r="C466" s="4"/>
      <c r="D466" s="4"/>
      <c r="E466" s="4"/>
      <c r="F466" s="4"/>
      <c r="G466" s="4"/>
      <c r="H466" s="4"/>
      <c r="I466" s="4"/>
    </row>
    <row r="467" spans="2:9" x14ac:dyDescent="0.2">
      <c r="B467" s="4"/>
      <c r="C467" s="4"/>
      <c r="D467" s="4"/>
      <c r="E467" s="4"/>
      <c r="F467" s="4"/>
      <c r="G467" s="4"/>
      <c r="H467" s="4"/>
      <c r="I467" s="4"/>
    </row>
    <row r="468" spans="2:9" x14ac:dyDescent="0.2">
      <c r="B468" s="4"/>
      <c r="C468" s="4"/>
      <c r="D468" s="4"/>
      <c r="E468" s="4"/>
      <c r="F468" s="4"/>
      <c r="G468" s="4"/>
      <c r="H468" s="4"/>
      <c r="I468" s="4"/>
    </row>
    <row r="469" spans="2:9" x14ac:dyDescent="0.2">
      <c r="B469" s="4"/>
      <c r="C469" s="4"/>
      <c r="D469" s="4"/>
      <c r="E469" s="4"/>
      <c r="F469" s="4"/>
      <c r="G469" s="4"/>
      <c r="H469" s="4"/>
      <c r="I469" s="4"/>
    </row>
    <row r="470" spans="2:9" x14ac:dyDescent="0.2">
      <c r="B470" s="4"/>
      <c r="C470" s="4"/>
      <c r="D470" s="4"/>
      <c r="E470" s="4"/>
      <c r="F470" s="4"/>
      <c r="G470" s="4"/>
      <c r="H470" s="4"/>
      <c r="I470" s="4"/>
    </row>
    <row r="471" spans="2:9" x14ac:dyDescent="0.2">
      <c r="B471" s="4"/>
      <c r="C471" s="4"/>
      <c r="D471" s="4"/>
      <c r="E471" s="4"/>
      <c r="F471" s="4"/>
      <c r="G471" s="4"/>
      <c r="H471" s="4"/>
      <c r="I471" s="4"/>
    </row>
    <row r="472" spans="2:9" x14ac:dyDescent="0.2">
      <c r="B472" s="4"/>
      <c r="C472" s="4"/>
      <c r="D472" s="4"/>
      <c r="E472" s="4"/>
      <c r="F472" s="4"/>
      <c r="G472" s="4"/>
      <c r="H472" s="4"/>
      <c r="I472" s="4"/>
    </row>
    <row r="473" spans="2:9" x14ac:dyDescent="0.2">
      <c r="B473" s="4"/>
      <c r="C473" s="4"/>
      <c r="D473" s="4"/>
      <c r="E473" s="4"/>
      <c r="F473" s="4"/>
      <c r="G473" s="4"/>
      <c r="H473" s="4"/>
      <c r="I473" s="4"/>
    </row>
    <row r="474" spans="2:9" x14ac:dyDescent="0.2">
      <c r="B474" s="4"/>
      <c r="C474" s="4"/>
      <c r="D474" s="4"/>
      <c r="E474" s="4"/>
      <c r="F474" s="4"/>
      <c r="G474" s="4"/>
      <c r="H474" s="4"/>
      <c r="I474" s="4"/>
    </row>
    <row r="475" spans="2:9" x14ac:dyDescent="0.2">
      <c r="B475" s="4"/>
      <c r="C475" s="4"/>
      <c r="D475" s="4"/>
      <c r="E475" s="4"/>
      <c r="F475" s="4"/>
      <c r="G475" s="4"/>
      <c r="H475" s="4"/>
      <c r="I475" s="4"/>
    </row>
    <row r="476" spans="2:9" x14ac:dyDescent="0.2">
      <c r="B476" s="4"/>
      <c r="C476" s="4"/>
      <c r="D476" s="4"/>
      <c r="E476" s="4"/>
      <c r="F476" s="4"/>
      <c r="G476" s="4"/>
      <c r="H476" s="4"/>
      <c r="I476" s="4"/>
    </row>
    <row r="477" spans="2:9" x14ac:dyDescent="0.2">
      <c r="B477" s="4"/>
      <c r="C477" s="4"/>
      <c r="D477" s="4"/>
      <c r="E477" s="4"/>
      <c r="F477" s="4"/>
      <c r="G477" s="4"/>
      <c r="H477" s="4"/>
      <c r="I477" s="4"/>
    </row>
    <row r="478" spans="2:9" x14ac:dyDescent="0.2">
      <c r="B478" s="4"/>
      <c r="C478" s="4"/>
      <c r="D478" s="4"/>
      <c r="E478" s="4"/>
      <c r="F478" s="4"/>
      <c r="G478" s="4"/>
      <c r="H478" s="4"/>
      <c r="I478" s="4"/>
    </row>
    <row r="479" spans="2:9" x14ac:dyDescent="0.2">
      <c r="B479" s="4"/>
      <c r="C479" s="4"/>
      <c r="D479" s="4"/>
      <c r="E479" s="4"/>
      <c r="F479" s="4"/>
      <c r="G479" s="4"/>
      <c r="H479" s="4"/>
      <c r="I479" s="4"/>
    </row>
    <row r="480" spans="2:9" x14ac:dyDescent="0.2">
      <c r="B480" s="4"/>
      <c r="C480" s="4"/>
      <c r="D480" s="4"/>
      <c r="E480" s="4"/>
      <c r="F480" s="4"/>
      <c r="G480" s="4"/>
      <c r="H480" s="4"/>
      <c r="I480" s="4"/>
    </row>
    <row r="481" spans="2:9" x14ac:dyDescent="0.2">
      <c r="B481" s="4"/>
      <c r="C481" s="4"/>
      <c r="D481" s="4"/>
      <c r="E481" s="4"/>
      <c r="F481" s="4"/>
      <c r="G481" s="4"/>
      <c r="H481" s="4"/>
      <c r="I481" s="4"/>
    </row>
    <row r="482" spans="2:9" x14ac:dyDescent="0.2">
      <c r="B482" s="4"/>
      <c r="C482" s="4"/>
      <c r="D482" s="4"/>
      <c r="E482" s="4"/>
      <c r="F482" s="4"/>
      <c r="G482" s="4"/>
      <c r="H482" s="4"/>
      <c r="I482" s="4"/>
    </row>
    <row r="483" spans="2:9" x14ac:dyDescent="0.2">
      <c r="B483" s="4"/>
      <c r="C483" s="4"/>
      <c r="D483" s="4"/>
      <c r="E483" s="4"/>
      <c r="F483" s="4"/>
      <c r="G483" s="4"/>
      <c r="H483" s="4"/>
      <c r="I483" s="4"/>
    </row>
    <row r="484" spans="2:9" x14ac:dyDescent="0.2">
      <c r="B484" s="4"/>
      <c r="C484" s="4"/>
      <c r="D484" s="4"/>
      <c r="E484" s="4"/>
      <c r="F484" s="4"/>
      <c r="G484" s="4"/>
      <c r="H484" s="4"/>
      <c r="I484" s="4"/>
    </row>
    <row r="485" spans="2:9" x14ac:dyDescent="0.2">
      <c r="B485" s="4"/>
      <c r="C485" s="4"/>
      <c r="D485" s="4"/>
      <c r="E485" s="4"/>
      <c r="F485" s="4"/>
      <c r="G485" s="4"/>
      <c r="H485" s="4"/>
      <c r="I485" s="4"/>
    </row>
    <row r="486" spans="2:9" x14ac:dyDescent="0.2">
      <c r="B486" s="4"/>
      <c r="C486" s="4"/>
      <c r="D486" s="4"/>
      <c r="E486" s="4"/>
      <c r="F486" s="4"/>
      <c r="G486" s="4"/>
      <c r="H486" s="4"/>
      <c r="I486" s="4"/>
    </row>
    <row r="487" spans="2:9" x14ac:dyDescent="0.2">
      <c r="B487" s="4"/>
      <c r="C487" s="4"/>
      <c r="D487" s="4"/>
      <c r="E487" s="4"/>
      <c r="F487" s="4"/>
      <c r="G487" s="4"/>
      <c r="H487" s="4"/>
      <c r="I487" s="4"/>
    </row>
    <row r="488" spans="2:9" x14ac:dyDescent="0.2">
      <c r="B488" s="4"/>
      <c r="C488" s="4"/>
      <c r="D488" s="4"/>
      <c r="E488" s="4"/>
      <c r="F488" s="4"/>
      <c r="G488" s="4"/>
      <c r="H488" s="4"/>
      <c r="I488" s="4"/>
    </row>
    <row r="489" spans="2:9" x14ac:dyDescent="0.2">
      <c r="B489" s="4"/>
      <c r="C489" s="4"/>
      <c r="D489" s="4"/>
      <c r="E489" s="4"/>
      <c r="F489" s="4"/>
      <c r="G489" s="4"/>
      <c r="H489" s="4"/>
      <c r="I489" s="4"/>
    </row>
    <row r="490" spans="2:9" x14ac:dyDescent="0.2">
      <c r="B490" s="4"/>
      <c r="C490" s="4"/>
      <c r="D490" s="4"/>
      <c r="E490" s="4"/>
      <c r="F490" s="4"/>
      <c r="G490" s="4"/>
      <c r="H490" s="4"/>
      <c r="I490" s="4"/>
    </row>
    <row r="491" spans="2:9" x14ac:dyDescent="0.2">
      <c r="B491" s="4"/>
      <c r="C491" s="4"/>
      <c r="D491" s="4"/>
      <c r="E491" s="4"/>
      <c r="F491" s="4"/>
      <c r="G491" s="4"/>
      <c r="H491" s="4"/>
      <c r="I491" s="4"/>
    </row>
    <row r="492" spans="2:9" x14ac:dyDescent="0.2">
      <c r="B492" s="4"/>
      <c r="C492" s="4"/>
      <c r="D492" s="4"/>
      <c r="E492" s="4"/>
      <c r="F492" s="4"/>
      <c r="G492" s="4"/>
      <c r="H492" s="4"/>
      <c r="I492" s="4"/>
    </row>
    <row r="493" spans="2:9" x14ac:dyDescent="0.2">
      <c r="B493" s="4"/>
      <c r="C493" s="4"/>
      <c r="D493" s="4"/>
      <c r="E493" s="4"/>
      <c r="F493" s="4"/>
      <c r="G493" s="4"/>
      <c r="H493" s="4"/>
      <c r="I493" s="4"/>
    </row>
    <row r="494" spans="2:9" x14ac:dyDescent="0.2">
      <c r="B494" s="4"/>
      <c r="C494" s="4"/>
      <c r="D494" s="4"/>
      <c r="E494" s="4"/>
      <c r="F494" s="4"/>
      <c r="G494" s="4"/>
      <c r="H494" s="4"/>
      <c r="I494" s="4"/>
    </row>
    <row r="495" spans="2:9" x14ac:dyDescent="0.2">
      <c r="B495" s="4"/>
      <c r="C495" s="4"/>
      <c r="D495" s="4"/>
      <c r="E495" s="4"/>
      <c r="F495" s="4"/>
      <c r="G495" s="4"/>
      <c r="H495" s="4"/>
      <c r="I495" s="4"/>
    </row>
    <row r="496" spans="2:9" x14ac:dyDescent="0.2">
      <c r="B496" s="4"/>
      <c r="C496" s="4"/>
      <c r="D496" s="4"/>
      <c r="E496" s="4"/>
      <c r="F496" s="4"/>
      <c r="G496" s="4"/>
      <c r="H496" s="4"/>
      <c r="I496" s="4"/>
    </row>
    <row r="497" spans="2:9" x14ac:dyDescent="0.2">
      <c r="B497" s="4"/>
      <c r="C497" s="4"/>
      <c r="D497" s="4"/>
      <c r="E497" s="4"/>
      <c r="F497" s="4"/>
      <c r="G497" s="4"/>
      <c r="H497" s="4"/>
      <c r="I497" s="4"/>
    </row>
    <row r="498" spans="2:9" x14ac:dyDescent="0.2">
      <c r="B498" s="4"/>
      <c r="C498" s="4"/>
      <c r="D498" s="4"/>
      <c r="E498" s="4"/>
      <c r="F498" s="4"/>
      <c r="G498" s="4"/>
      <c r="H498" s="4"/>
      <c r="I498" s="4"/>
    </row>
    <row r="499" spans="2:9" x14ac:dyDescent="0.2">
      <c r="B499" s="4"/>
      <c r="C499" s="4"/>
      <c r="D499" s="4"/>
      <c r="E499" s="4"/>
      <c r="F499" s="4"/>
      <c r="G499" s="4"/>
      <c r="H499" s="4"/>
      <c r="I499" s="4"/>
    </row>
    <row r="500" spans="2:9" x14ac:dyDescent="0.2">
      <c r="B500" s="4"/>
      <c r="C500" s="4"/>
      <c r="D500" s="4"/>
      <c r="E500" s="4"/>
      <c r="F500" s="4"/>
      <c r="G500" s="4"/>
      <c r="H500" s="4"/>
      <c r="I500" s="4"/>
    </row>
    <row r="501" spans="2:9" x14ac:dyDescent="0.2">
      <c r="B501" s="4"/>
      <c r="C501" s="4"/>
      <c r="D501" s="4"/>
      <c r="E501" s="4"/>
      <c r="F501" s="4"/>
      <c r="G501" s="4"/>
      <c r="H501" s="4"/>
      <c r="I501" s="4"/>
    </row>
    <row r="502" spans="2:9" x14ac:dyDescent="0.2">
      <c r="B502" s="4"/>
      <c r="C502" s="4"/>
      <c r="D502" s="4"/>
      <c r="E502" s="4"/>
      <c r="F502" s="4"/>
      <c r="G502" s="4"/>
      <c r="H502" s="4"/>
      <c r="I502" s="4"/>
    </row>
    <row r="503" spans="2:9" x14ac:dyDescent="0.2">
      <c r="B503" s="4"/>
      <c r="C503" s="4"/>
      <c r="D503" s="4"/>
      <c r="E503" s="4"/>
      <c r="F503" s="4"/>
      <c r="G503" s="4"/>
      <c r="H503" s="4"/>
      <c r="I503" s="4"/>
    </row>
    <row r="504" spans="2:9" x14ac:dyDescent="0.2">
      <c r="B504" s="4"/>
      <c r="C504" s="4"/>
      <c r="D504" s="4"/>
      <c r="E504" s="4"/>
      <c r="F504" s="4"/>
      <c r="G504" s="4"/>
      <c r="H504" s="4"/>
      <c r="I504" s="4"/>
    </row>
    <row r="505" spans="2:9" x14ac:dyDescent="0.2">
      <c r="B505" s="4"/>
      <c r="C505" s="4"/>
      <c r="D505" s="4"/>
      <c r="E505" s="4"/>
      <c r="F505" s="4"/>
      <c r="G505" s="4"/>
      <c r="H505" s="4"/>
      <c r="I505" s="4"/>
    </row>
    <row r="506" spans="2:9" x14ac:dyDescent="0.2">
      <c r="B506" s="4"/>
      <c r="C506" s="4"/>
      <c r="D506" s="4"/>
      <c r="E506" s="4"/>
      <c r="F506" s="4"/>
      <c r="G506" s="4"/>
      <c r="H506" s="4"/>
      <c r="I506" s="4"/>
    </row>
    <row r="507" spans="2:9" x14ac:dyDescent="0.2">
      <c r="B507" s="4"/>
      <c r="C507" s="4"/>
      <c r="D507" s="4"/>
      <c r="E507" s="4"/>
      <c r="F507" s="4"/>
      <c r="G507" s="4"/>
      <c r="H507" s="4"/>
      <c r="I507" s="4"/>
    </row>
    <row r="508" spans="2:9" x14ac:dyDescent="0.2">
      <c r="B508" s="4"/>
      <c r="C508" s="4"/>
      <c r="D508" s="4"/>
      <c r="E508" s="4"/>
      <c r="F508" s="4"/>
      <c r="G508" s="4"/>
      <c r="H508" s="4"/>
      <c r="I508" s="4"/>
    </row>
    <row r="509" spans="2:9" x14ac:dyDescent="0.2">
      <c r="B509" s="4"/>
      <c r="C509" s="4"/>
      <c r="D509" s="4"/>
      <c r="E509" s="4"/>
      <c r="F509" s="4"/>
      <c r="G509" s="4"/>
      <c r="H509" s="4"/>
      <c r="I509" s="4"/>
    </row>
    <row r="510" spans="2:9" x14ac:dyDescent="0.2">
      <c r="B510" s="4"/>
      <c r="C510" s="4"/>
      <c r="D510" s="4"/>
      <c r="E510" s="4"/>
      <c r="F510" s="4"/>
      <c r="G510" s="4"/>
      <c r="H510" s="4"/>
      <c r="I510" s="4"/>
    </row>
    <row r="511" spans="2:9" x14ac:dyDescent="0.2">
      <c r="B511" s="4"/>
      <c r="C511" s="4"/>
      <c r="D511" s="4"/>
      <c r="E511" s="4"/>
      <c r="F511" s="4"/>
      <c r="G511" s="4"/>
      <c r="H511" s="4"/>
      <c r="I511" s="4"/>
    </row>
    <row r="512" spans="2:9" x14ac:dyDescent="0.2">
      <c r="B512" s="4"/>
      <c r="C512" s="4"/>
      <c r="D512" s="4"/>
      <c r="E512" s="4"/>
      <c r="F512" s="4"/>
      <c r="G512" s="4"/>
      <c r="H512" s="4"/>
      <c r="I512" s="4"/>
    </row>
    <row r="513" spans="2:9" x14ac:dyDescent="0.2">
      <c r="B513" s="4"/>
      <c r="C513" s="4"/>
      <c r="D513" s="4"/>
      <c r="E513" s="4"/>
      <c r="F513" s="4"/>
      <c r="G513" s="4"/>
      <c r="H513" s="4"/>
      <c r="I513" s="4"/>
    </row>
    <row r="514" spans="2:9" x14ac:dyDescent="0.2">
      <c r="B514" s="4"/>
      <c r="C514" s="4"/>
      <c r="D514" s="4"/>
      <c r="E514" s="4"/>
      <c r="F514" s="4"/>
      <c r="G514" s="4"/>
      <c r="H514" s="4"/>
      <c r="I514" s="4"/>
    </row>
    <row r="515" spans="2:9" x14ac:dyDescent="0.2">
      <c r="B515" s="4"/>
      <c r="C515" s="4"/>
      <c r="D515" s="4"/>
      <c r="E515" s="4"/>
      <c r="F515" s="4"/>
      <c r="G515" s="4"/>
      <c r="H515" s="4"/>
      <c r="I515" s="4"/>
    </row>
    <row r="516" spans="2:9" x14ac:dyDescent="0.2">
      <c r="B516" s="4"/>
      <c r="C516" s="4"/>
      <c r="D516" s="4"/>
      <c r="E516" s="4"/>
      <c r="F516" s="4"/>
      <c r="G516" s="4"/>
      <c r="H516" s="4"/>
      <c r="I516" s="4"/>
    </row>
    <row r="517" spans="2:9" x14ac:dyDescent="0.2">
      <c r="B517" s="4"/>
      <c r="C517" s="4"/>
      <c r="D517" s="4"/>
      <c r="E517" s="4"/>
      <c r="F517" s="4"/>
      <c r="G517" s="4"/>
      <c r="H517" s="4"/>
      <c r="I517" s="4"/>
    </row>
    <row r="518" spans="2:9" x14ac:dyDescent="0.2">
      <c r="B518" s="4"/>
      <c r="C518" s="4"/>
      <c r="D518" s="4"/>
      <c r="E518" s="4"/>
      <c r="F518" s="4"/>
      <c r="G518" s="4"/>
      <c r="H518" s="4"/>
      <c r="I518" s="4"/>
    </row>
    <row r="519" spans="2:9" x14ac:dyDescent="0.2">
      <c r="B519" s="4"/>
      <c r="C519" s="4"/>
      <c r="D519" s="4"/>
      <c r="E519" s="4"/>
      <c r="F519" s="4"/>
      <c r="G519" s="4"/>
      <c r="H519" s="4"/>
      <c r="I519" s="4"/>
    </row>
    <row r="520" spans="2:9" x14ac:dyDescent="0.2">
      <c r="B520" s="4"/>
      <c r="C520" s="4"/>
      <c r="D520" s="4"/>
      <c r="E520" s="4"/>
      <c r="F520" s="4"/>
      <c r="G520" s="4"/>
      <c r="H520" s="4"/>
      <c r="I520" s="4"/>
    </row>
    <row r="521" spans="2:9" x14ac:dyDescent="0.2">
      <c r="B521" s="4"/>
      <c r="C521" s="4"/>
      <c r="D521" s="4"/>
      <c r="E521" s="4"/>
      <c r="F521" s="4"/>
      <c r="G521" s="4"/>
      <c r="H521" s="4"/>
      <c r="I521" s="4"/>
    </row>
    <row r="522" spans="2:9" x14ac:dyDescent="0.2">
      <c r="B522" s="4"/>
      <c r="C522" s="4"/>
      <c r="D522" s="4"/>
      <c r="E522" s="4"/>
      <c r="F522" s="4"/>
      <c r="G522" s="4"/>
      <c r="H522" s="4"/>
      <c r="I522" s="4"/>
    </row>
    <row r="523" spans="2:9" x14ac:dyDescent="0.2">
      <c r="B523" s="4"/>
      <c r="C523" s="4"/>
      <c r="D523" s="4"/>
      <c r="E523" s="4"/>
      <c r="F523" s="4"/>
      <c r="G523" s="4"/>
      <c r="H523" s="4"/>
      <c r="I523" s="4"/>
    </row>
    <row r="524" spans="2:9" x14ac:dyDescent="0.2">
      <c r="B524" s="4"/>
      <c r="C524" s="4"/>
      <c r="D524" s="4"/>
      <c r="E524" s="4"/>
      <c r="F524" s="4"/>
      <c r="G524" s="4"/>
      <c r="H524" s="4"/>
      <c r="I524" s="4"/>
    </row>
    <row r="525" spans="2:9" x14ac:dyDescent="0.2">
      <c r="B525" s="4"/>
      <c r="C525" s="4"/>
      <c r="D525" s="4"/>
      <c r="E525" s="4"/>
      <c r="F525" s="4"/>
      <c r="G525" s="4"/>
      <c r="H525" s="4"/>
      <c r="I525" s="4"/>
    </row>
    <row r="526" spans="2:9" x14ac:dyDescent="0.2">
      <c r="B526" s="4"/>
      <c r="C526" s="4"/>
      <c r="D526" s="4"/>
      <c r="E526" s="4"/>
      <c r="F526" s="4"/>
      <c r="G526" s="4"/>
      <c r="H526" s="4"/>
      <c r="I526" s="4"/>
    </row>
    <row r="527" spans="2:9" x14ac:dyDescent="0.2">
      <c r="B527" s="4"/>
      <c r="C527" s="4"/>
      <c r="D527" s="4"/>
      <c r="E527" s="4"/>
      <c r="F527" s="4"/>
      <c r="G527" s="4"/>
      <c r="H527" s="4"/>
      <c r="I527" s="4"/>
    </row>
    <row r="528" spans="2:9" x14ac:dyDescent="0.2">
      <c r="B528" s="4"/>
      <c r="C528" s="4"/>
      <c r="D528" s="4"/>
      <c r="E528" s="4"/>
      <c r="F528" s="4"/>
      <c r="G528" s="4"/>
      <c r="H528" s="4"/>
      <c r="I528" s="4"/>
    </row>
    <row r="529" spans="2:9" x14ac:dyDescent="0.2">
      <c r="B529" s="4"/>
      <c r="C529" s="4"/>
      <c r="D529" s="4"/>
      <c r="E529" s="4"/>
      <c r="F529" s="4"/>
      <c r="G529" s="4"/>
      <c r="H529" s="4"/>
      <c r="I529" s="4"/>
    </row>
    <row r="530" spans="2:9" x14ac:dyDescent="0.2">
      <c r="B530" s="4"/>
      <c r="C530" s="4"/>
      <c r="D530" s="4"/>
      <c r="E530" s="4"/>
      <c r="F530" s="4"/>
      <c r="G530" s="4"/>
      <c r="H530" s="4"/>
      <c r="I530" s="4"/>
    </row>
    <row r="531" spans="2:9" x14ac:dyDescent="0.2">
      <c r="B531" s="4"/>
      <c r="C531" s="4"/>
      <c r="D531" s="4"/>
      <c r="E531" s="4"/>
      <c r="F531" s="4"/>
      <c r="G531" s="4"/>
      <c r="H531" s="4"/>
      <c r="I531" s="4"/>
    </row>
    <row r="532" spans="2:9" x14ac:dyDescent="0.2">
      <c r="B532" s="4"/>
      <c r="C532" s="4"/>
      <c r="D532" s="4"/>
      <c r="E532" s="4"/>
      <c r="F532" s="4"/>
      <c r="G532" s="4"/>
      <c r="H532" s="4"/>
      <c r="I532" s="4"/>
    </row>
    <row r="533" spans="2:9" x14ac:dyDescent="0.2">
      <c r="B533" s="4"/>
      <c r="C533" s="4"/>
      <c r="D533" s="4"/>
      <c r="E533" s="4"/>
      <c r="F533" s="4"/>
      <c r="G533" s="4"/>
      <c r="H533" s="4"/>
      <c r="I533" s="4"/>
    </row>
    <row r="534" spans="2:9" x14ac:dyDescent="0.2">
      <c r="B534" s="4"/>
      <c r="C534" s="4"/>
      <c r="D534" s="4"/>
      <c r="E534" s="4"/>
      <c r="F534" s="4"/>
      <c r="G534" s="4"/>
      <c r="H534" s="4"/>
      <c r="I534" s="4"/>
    </row>
    <row r="535" spans="2:9" x14ac:dyDescent="0.2">
      <c r="B535" s="4"/>
      <c r="C535" s="4"/>
      <c r="D535" s="4"/>
      <c r="E535" s="4"/>
      <c r="F535" s="4"/>
      <c r="G535" s="4"/>
      <c r="H535" s="4"/>
      <c r="I535" s="4"/>
    </row>
    <row r="536" spans="2:9" x14ac:dyDescent="0.2">
      <c r="B536" s="4"/>
      <c r="C536" s="4"/>
      <c r="D536" s="4"/>
      <c r="E536" s="4"/>
      <c r="F536" s="4"/>
      <c r="G536" s="4"/>
      <c r="H536" s="4"/>
      <c r="I536" s="4"/>
    </row>
    <row r="537" spans="2:9" x14ac:dyDescent="0.2">
      <c r="B537" s="4"/>
      <c r="C537" s="4"/>
      <c r="D537" s="4"/>
      <c r="E537" s="4"/>
      <c r="F537" s="4"/>
      <c r="G537" s="4"/>
      <c r="H537" s="4"/>
      <c r="I537" s="4"/>
    </row>
    <row r="538" spans="2:9" x14ac:dyDescent="0.2">
      <c r="B538" s="4"/>
      <c r="C538" s="4"/>
      <c r="D538" s="4"/>
      <c r="E538" s="4"/>
      <c r="F538" s="4"/>
      <c r="G538" s="4"/>
      <c r="H538" s="4"/>
      <c r="I538" s="4"/>
    </row>
    <row r="539" spans="2:9" x14ac:dyDescent="0.2">
      <c r="B539" s="4"/>
      <c r="C539" s="4"/>
      <c r="D539" s="4"/>
      <c r="E539" s="4"/>
      <c r="F539" s="4"/>
      <c r="G539" s="4"/>
      <c r="H539" s="4"/>
      <c r="I539" s="4"/>
    </row>
    <row r="540" spans="2:9" x14ac:dyDescent="0.2">
      <c r="B540" s="4"/>
      <c r="C540" s="4"/>
      <c r="D540" s="4"/>
      <c r="E540" s="4"/>
      <c r="F540" s="4"/>
      <c r="G540" s="4"/>
      <c r="H540" s="4"/>
      <c r="I540" s="4"/>
    </row>
    <row r="541" spans="2:9" x14ac:dyDescent="0.2">
      <c r="B541" s="4"/>
      <c r="C541" s="4"/>
      <c r="D541" s="4"/>
      <c r="E541" s="4"/>
      <c r="F541" s="4"/>
      <c r="G541" s="4"/>
      <c r="H541" s="4"/>
      <c r="I541" s="4"/>
    </row>
    <row r="542" spans="2:9" x14ac:dyDescent="0.2">
      <c r="B542" s="4"/>
      <c r="C542" s="4"/>
      <c r="D542" s="4"/>
      <c r="E542" s="4"/>
      <c r="F542" s="4"/>
      <c r="G542" s="4"/>
      <c r="H542" s="4"/>
      <c r="I542" s="4"/>
    </row>
    <row r="543" spans="2:9" x14ac:dyDescent="0.2">
      <c r="B543" s="4"/>
      <c r="C543" s="4"/>
      <c r="D543" s="4"/>
      <c r="E543" s="4"/>
      <c r="F543" s="4"/>
      <c r="G543" s="4"/>
      <c r="H543" s="4"/>
      <c r="I543" s="4"/>
    </row>
    <row r="544" spans="2:9" x14ac:dyDescent="0.2">
      <c r="B544" s="4"/>
      <c r="C544" s="4"/>
      <c r="D544" s="4"/>
      <c r="E544" s="4"/>
      <c r="F544" s="4"/>
      <c r="G544" s="4"/>
      <c r="H544" s="4"/>
      <c r="I544" s="4"/>
    </row>
    <row r="545" spans="2:9" x14ac:dyDescent="0.2">
      <c r="B545" s="4"/>
      <c r="C545" s="4"/>
      <c r="D545" s="4"/>
      <c r="E545" s="4"/>
      <c r="F545" s="4"/>
      <c r="G545" s="4"/>
      <c r="H545" s="4"/>
      <c r="I545" s="4"/>
    </row>
    <row r="546" spans="2:9" x14ac:dyDescent="0.2">
      <c r="B546" s="4"/>
      <c r="C546" s="4"/>
      <c r="D546" s="4"/>
      <c r="E546" s="4"/>
      <c r="F546" s="4"/>
      <c r="G546" s="4"/>
      <c r="H546" s="4"/>
      <c r="I546" s="4"/>
    </row>
    <row r="547" spans="2:9" x14ac:dyDescent="0.2">
      <c r="B547" s="4"/>
      <c r="C547" s="4"/>
      <c r="D547" s="4"/>
      <c r="E547" s="4"/>
      <c r="F547" s="4"/>
      <c r="G547" s="4"/>
      <c r="H547" s="4"/>
      <c r="I547" s="4"/>
    </row>
    <row r="548" spans="2:9" x14ac:dyDescent="0.2">
      <c r="B548" s="4"/>
      <c r="C548" s="4"/>
      <c r="D548" s="4"/>
      <c r="E548" s="4"/>
      <c r="F548" s="4"/>
      <c r="G548" s="4"/>
      <c r="H548" s="4"/>
      <c r="I548" s="4"/>
    </row>
    <row r="549" spans="2:9" x14ac:dyDescent="0.2">
      <c r="B549" s="4"/>
      <c r="C549" s="4"/>
      <c r="D549" s="4"/>
      <c r="E549" s="4"/>
      <c r="F549" s="4"/>
      <c r="G549" s="4"/>
      <c r="H549" s="4"/>
      <c r="I549" s="4"/>
    </row>
    <row r="550" spans="2:9" x14ac:dyDescent="0.2">
      <c r="B550" s="4"/>
      <c r="C550" s="4"/>
      <c r="D550" s="4"/>
      <c r="E550" s="4"/>
      <c r="F550" s="4"/>
      <c r="G550" s="4"/>
      <c r="H550" s="4"/>
      <c r="I550" s="4"/>
    </row>
    <row r="551" spans="2:9" x14ac:dyDescent="0.2">
      <c r="B551" s="4"/>
      <c r="C551" s="4"/>
      <c r="D551" s="4"/>
      <c r="E551" s="4"/>
      <c r="F551" s="4"/>
      <c r="G551" s="4"/>
      <c r="H551" s="4"/>
      <c r="I551" s="4"/>
    </row>
    <row r="552" spans="2:9" x14ac:dyDescent="0.2">
      <c r="B552" s="4"/>
      <c r="C552" s="4"/>
      <c r="D552" s="4"/>
      <c r="E552" s="4"/>
      <c r="F552" s="4"/>
      <c r="G552" s="4"/>
      <c r="H552" s="4"/>
      <c r="I552" s="4"/>
    </row>
    <row r="553" spans="2:9" x14ac:dyDescent="0.2">
      <c r="B553" s="4"/>
      <c r="C553" s="4"/>
      <c r="D553" s="4"/>
      <c r="E553" s="4"/>
      <c r="F553" s="4"/>
      <c r="G553" s="4"/>
      <c r="H553" s="4"/>
      <c r="I553" s="4"/>
    </row>
    <row r="554" spans="2:9" x14ac:dyDescent="0.2">
      <c r="B554" s="4"/>
      <c r="C554" s="4"/>
      <c r="D554" s="4"/>
      <c r="E554" s="4"/>
      <c r="F554" s="4"/>
      <c r="G554" s="4"/>
      <c r="H554" s="4"/>
      <c r="I554" s="4"/>
    </row>
    <row r="555" spans="2:9" x14ac:dyDescent="0.2">
      <c r="B555" s="4"/>
      <c r="C555" s="4"/>
      <c r="D555" s="4"/>
      <c r="E555" s="4"/>
      <c r="F555" s="4"/>
      <c r="G555" s="4"/>
      <c r="H555" s="4"/>
      <c r="I555" s="4"/>
    </row>
    <row r="556" spans="2:9" x14ac:dyDescent="0.2">
      <c r="B556" s="4"/>
      <c r="C556" s="4"/>
      <c r="D556" s="4"/>
      <c r="E556" s="4"/>
      <c r="F556" s="4"/>
      <c r="G556" s="4"/>
      <c r="H556" s="4"/>
      <c r="I556" s="4"/>
    </row>
    <row r="557" spans="2:9" x14ac:dyDescent="0.2">
      <c r="B557" s="4"/>
      <c r="C557" s="4"/>
      <c r="D557" s="4"/>
      <c r="E557" s="4"/>
      <c r="F557" s="4"/>
      <c r="G557" s="4"/>
      <c r="H557" s="4"/>
      <c r="I557" s="4"/>
    </row>
    <row r="558" spans="2:9" x14ac:dyDescent="0.2">
      <c r="B558" s="4"/>
      <c r="C558" s="4"/>
      <c r="D558" s="4"/>
      <c r="E558" s="4"/>
      <c r="F558" s="4"/>
      <c r="G558" s="4"/>
      <c r="H558" s="4"/>
      <c r="I558" s="4"/>
    </row>
    <row r="559" spans="2:9" x14ac:dyDescent="0.2">
      <c r="B559" s="4"/>
      <c r="C559" s="4"/>
      <c r="D559" s="4"/>
      <c r="E559" s="4"/>
      <c r="F559" s="4"/>
      <c r="G559" s="4"/>
      <c r="H559" s="4"/>
      <c r="I559" s="4"/>
    </row>
    <row r="560" spans="2:9" x14ac:dyDescent="0.2">
      <c r="B560" s="4"/>
      <c r="C560" s="4"/>
      <c r="D560" s="4"/>
      <c r="E560" s="4"/>
      <c r="F560" s="4"/>
      <c r="G560" s="4"/>
      <c r="H560" s="4"/>
      <c r="I560" s="4"/>
    </row>
    <row r="561" spans="2:9" x14ac:dyDescent="0.2">
      <c r="B561" s="4"/>
      <c r="C561" s="4"/>
      <c r="D561" s="4"/>
      <c r="E561" s="4"/>
      <c r="F561" s="4"/>
      <c r="G561" s="4"/>
      <c r="H561" s="4"/>
      <c r="I561" s="4"/>
    </row>
    <row r="562" spans="2:9" x14ac:dyDescent="0.2">
      <c r="B562" s="4"/>
      <c r="C562" s="4"/>
      <c r="D562" s="4"/>
      <c r="E562" s="4"/>
      <c r="F562" s="4"/>
      <c r="G562" s="4"/>
      <c r="H562" s="4"/>
      <c r="I562" s="4"/>
    </row>
    <row r="563" spans="2:9" x14ac:dyDescent="0.2">
      <c r="B563" s="4"/>
      <c r="C563" s="4"/>
      <c r="D563" s="4"/>
      <c r="E563" s="4"/>
      <c r="F563" s="4"/>
      <c r="G563" s="4"/>
      <c r="H563" s="4"/>
      <c r="I563" s="4"/>
    </row>
    <row r="564" spans="2:9" x14ac:dyDescent="0.2">
      <c r="B564" s="4"/>
      <c r="C564" s="4"/>
      <c r="D564" s="4"/>
      <c r="E564" s="4"/>
      <c r="F564" s="4"/>
      <c r="G564" s="4"/>
      <c r="H564" s="4"/>
      <c r="I564" s="4"/>
    </row>
    <row r="565" spans="2:9" x14ac:dyDescent="0.2">
      <c r="B565" s="4"/>
      <c r="C565" s="4"/>
      <c r="D565" s="4"/>
      <c r="E565" s="4"/>
      <c r="F565" s="4"/>
      <c r="G565" s="4"/>
      <c r="H565" s="4"/>
      <c r="I565" s="4"/>
    </row>
    <row r="566" spans="2:9" x14ac:dyDescent="0.2">
      <c r="B566" s="4"/>
      <c r="C566" s="4"/>
      <c r="D566" s="4"/>
      <c r="E566" s="4"/>
      <c r="F566" s="4"/>
      <c r="G566" s="4"/>
      <c r="H566" s="4"/>
      <c r="I566" s="4"/>
    </row>
    <row r="567" spans="2:9" x14ac:dyDescent="0.2">
      <c r="B567" s="4"/>
      <c r="C567" s="4"/>
      <c r="D567" s="4"/>
      <c r="E567" s="4"/>
      <c r="F567" s="4"/>
      <c r="G567" s="4"/>
      <c r="H567" s="4"/>
      <c r="I567" s="4"/>
    </row>
    <row r="568" spans="2:9" x14ac:dyDescent="0.2">
      <c r="B568" s="4"/>
      <c r="C568" s="4"/>
      <c r="D568" s="4"/>
      <c r="E568" s="4"/>
      <c r="F568" s="4"/>
      <c r="G568" s="4"/>
      <c r="H568" s="4"/>
      <c r="I568" s="4"/>
    </row>
    <row r="569" spans="2:9" x14ac:dyDescent="0.2">
      <c r="B569" s="4"/>
      <c r="C569" s="4"/>
      <c r="D569" s="4"/>
      <c r="E569" s="4"/>
      <c r="F569" s="4"/>
      <c r="G569" s="4"/>
      <c r="H569" s="4"/>
      <c r="I569" s="4"/>
    </row>
    <row r="570" spans="2:9" x14ac:dyDescent="0.2">
      <c r="B570" s="4"/>
      <c r="C570" s="4"/>
      <c r="D570" s="4"/>
      <c r="E570" s="4"/>
      <c r="F570" s="4"/>
      <c r="G570" s="4"/>
      <c r="H570" s="4"/>
      <c r="I570" s="4"/>
    </row>
    <row r="571" spans="2:9" x14ac:dyDescent="0.2">
      <c r="B571" s="4"/>
      <c r="C571" s="4"/>
      <c r="D571" s="4"/>
      <c r="E571" s="4"/>
      <c r="F571" s="4"/>
      <c r="G571" s="4"/>
      <c r="H571" s="4"/>
      <c r="I571" s="4"/>
    </row>
    <row r="572" spans="2:9" x14ac:dyDescent="0.2">
      <c r="B572" s="4"/>
      <c r="C572" s="4"/>
      <c r="D572" s="4"/>
      <c r="E572" s="4"/>
      <c r="F572" s="4"/>
      <c r="G572" s="4"/>
      <c r="H572" s="4"/>
      <c r="I572" s="4"/>
    </row>
    <row r="573" spans="2:9" x14ac:dyDescent="0.2">
      <c r="B573" s="4"/>
      <c r="C573" s="4"/>
      <c r="D573" s="4"/>
      <c r="E573" s="4"/>
      <c r="F573" s="4"/>
      <c r="G573" s="4"/>
      <c r="H573" s="4"/>
      <c r="I573" s="4"/>
    </row>
    <row r="574" spans="2:9" x14ac:dyDescent="0.2">
      <c r="B574" s="4"/>
      <c r="C574" s="4"/>
      <c r="D574" s="4"/>
      <c r="E574" s="4"/>
      <c r="F574" s="4"/>
      <c r="G574" s="4"/>
      <c r="H574" s="4"/>
      <c r="I574" s="4"/>
    </row>
    <row r="575" spans="2:9" x14ac:dyDescent="0.2">
      <c r="B575" s="4"/>
      <c r="C575" s="4"/>
      <c r="D575" s="4"/>
      <c r="E575" s="4"/>
      <c r="F575" s="4"/>
      <c r="G575" s="4"/>
      <c r="H575" s="4"/>
      <c r="I575" s="4"/>
    </row>
    <row r="576" spans="2:9" x14ac:dyDescent="0.2">
      <c r="B576" s="4"/>
      <c r="C576" s="4"/>
      <c r="D576" s="4"/>
      <c r="E576" s="4"/>
      <c r="F576" s="4"/>
      <c r="G576" s="4"/>
      <c r="H576" s="4"/>
      <c r="I576" s="4"/>
    </row>
    <row r="577" spans="2:9" x14ac:dyDescent="0.2">
      <c r="B577" s="4"/>
      <c r="C577" s="4"/>
      <c r="D577" s="4"/>
      <c r="E577" s="4"/>
      <c r="F577" s="4"/>
      <c r="G577" s="4"/>
      <c r="H577" s="4"/>
      <c r="I577" s="4"/>
    </row>
    <row r="578" spans="2:9" x14ac:dyDescent="0.2">
      <c r="B578" s="4"/>
      <c r="C578" s="4"/>
      <c r="D578" s="4"/>
      <c r="E578" s="4"/>
      <c r="F578" s="4"/>
      <c r="G578" s="4"/>
      <c r="H578" s="4"/>
      <c r="I578" s="4"/>
    </row>
    <row r="579" spans="2:9" x14ac:dyDescent="0.2">
      <c r="B579" s="4"/>
      <c r="C579" s="4"/>
      <c r="D579" s="4"/>
      <c r="E579" s="4"/>
      <c r="F579" s="4"/>
      <c r="G579" s="4"/>
      <c r="H579" s="4"/>
      <c r="I579" s="4"/>
    </row>
    <row r="580" spans="2:9" x14ac:dyDescent="0.2">
      <c r="B580" s="4"/>
      <c r="C580" s="4"/>
      <c r="D580" s="4"/>
      <c r="E580" s="4"/>
      <c r="F580" s="4"/>
      <c r="G580" s="4"/>
      <c r="H580" s="4"/>
      <c r="I580" s="4"/>
    </row>
    <row r="581" spans="2:9" x14ac:dyDescent="0.2">
      <c r="B581" s="4"/>
      <c r="C581" s="4"/>
      <c r="D581" s="4"/>
      <c r="E581" s="4"/>
      <c r="F581" s="4"/>
      <c r="G581" s="4"/>
      <c r="H581" s="4"/>
      <c r="I581" s="4"/>
    </row>
    <row r="582" spans="2:9" x14ac:dyDescent="0.2">
      <c r="B582" s="4"/>
      <c r="C582" s="4"/>
      <c r="D582" s="4"/>
      <c r="E582" s="4"/>
      <c r="F582" s="4"/>
      <c r="G582" s="4"/>
      <c r="H582" s="4"/>
      <c r="I582" s="4"/>
    </row>
    <row r="583" spans="2:9" x14ac:dyDescent="0.2">
      <c r="B583" s="4"/>
      <c r="C583" s="4"/>
      <c r="D583" s="4"/>
      <c r="E583" s="4"/>
      <c r="F583" s="4"/>
      <c r="G583" s="4"/>
      <c r="H583" s="4"/>
      <c r="I583" s="4"/>
    </row>
    <row r="584" spans="2:9" x14ac:dyDescent="0.2">
      <c r="B584" s="4"/>
      <c r="C584" s="4"/>
      <c r="D584" s="4"/>
      <c r="E584" s="4"/>
      <c r="F584" s="4"/>
      <c r="G584" s="4"/>
      <c r="H584" s="4"/>
      <c r="I584" s="4"/>
    </row>
    <row r="585" spans="2:9" x14ac:dyDescent="0.2">
      <c r="B585" s="4"/>
      <c r="C585" s="4"/>
      <c r="D585" s="4"/>
      <c r="E585" s="4"/>
      <c r="F585" s="4"/>
      <c r="G585" s="4"/>
      <c r="H585" s="4"/>
      <c r="I585" s="4"/>
    </row>
    <row r="586" spans="2:9" x14ac:dyDescent="0.2">
      <c r="B586" s="4"/>
      <c r="C586" s="4"/>
      <c r="D586" s="4"/>
      <c r="E586" s="4"/>
      <c r="F586" s="4"/>
      <c r="G586" s="4"/>
      <c r="H586" s="4"/>
      <c r="I586" s="4"/>
    </row>
    <row r="587" spans="2:9" x14ac:dyDescent="0.2">
      <c r="B587" s="4"/>
      <c r="C587" s="4"/>
      <c r="D587" s="4"/>
      <c r="E587" s="4"/>
      <c r="F587" s="4"/>
      <c r="G587" s="4"/>
      <c r="H587" s="4"/>
      <c r="I587" s="4"/>
    </row>
    <row r="588" spans="2:9" x14ac:dyDescent="0.2">
      <c r="B588" s="4"/>
      <c r="C588" s="4"/>
      <c r="D588" s="4"/>
      <c r="E588" s="4"/>
      <c r="F588" s="4"/>
      <c r="G588" s="4"/>
      <c r="H588" s="4"/>
      <c r="I588" s="4"/>
    </row>
    <row r="589" spans="2:9" x14ac:dyDescent="0.2">
      <c r="B589" s="4"/>
      <c r="C589" s="4"/>
      <c r="D589" s="4"/>
      <c r="E589" s="4"/>
      <c r="F589" s="4"/>
      <c r="G589" s="4"/>
      <c r="H589" s="4"/>
      <c r="I589" s="4"/>
    </row>
    <row r="590" spans="2:9" x14ac:dyDescent="0.2">
      <c r="B590" s="4"/>
      <c r="C590" s="4"/>
      <c r="D590" s="4"/>
      <c r="E590" s="4"/>
      <c r="F590" s="4"/>
      <c r="G590" s="4"/>
      <c r="H590" s="4"/>
      <c r="I590" s="4"/>
    </row>
    <row r="591" spans="2:9" x14ac:dyDescent="0.2">
      <c r="B591" s="4"/>
      <c r="C591" s="4"/>
      <c r="D591" s="4"/>
      <c r="E591" s="4"/>
      <c r="F591" s="4"/>
      <c r="G591" s="4"/>
      <c r="H591" s="4"/>
      <c r="I591" s="4"/>
    </row>
    <row r="592" spans="2:9" x14ac:dyDescent="0.2">
      <c r="B592" s="4"/>
      <c r="C592" s="4"/>
      <c r="D592" s="4"/>
      <c r="E592" s="4"/>
      <c r="F592" s="4"/>
      <c r="G592" s="4"/>
      <c r="H592" s="4"/>
      <c r="I592" s="4"/>
    </row>
    <row r="593" spans="2:9" x14ac:dyDescent="0.2">
      <c r="B593" s="4"/>
      <c r="C593" s="4"/>
      <c r="D593" s="4"/>
      <c r="E593" s="4"/>
      <c r="F593" s="4"/>
      <c r="G593" s="4"/>
      <c r="H593" s="4"/>
      <c r="I593" s="4"/>
    </row>
    <row r="594" spans="2:9" x14ac:dyDescent="0.2">
      <c r="B594" s="4"/>
      <c r="C594" s="4"/>
      <c r="D594" s="4"/>
      <c r="E594" s="4"/>
      <c r="F594" s="4"/>
      <c r="G594" s="4"/>
      <c r="H594" s="4"/>
      <c r="I594" s="4"/>
    </row>
    <row r="595" spans="2:9" x14ac:dyDescent="0.2">
      <c r="B595" s="4"/>
      <c r="C595" s="4"/>
      <c r="D595" s="4"/>
      <c r="E595" s="4"/>
      <c r="F595" s="4"/>
      <c r="G595" s="4"/>
      <c r="H595" s="4"/>
      <c r="I595" s="4"/>
    </row>
    <row r="596" spans="2:9" x14ac:dyDescent="0.2">
      <c r="B596" s="4"/>
      <c r="C596" s="4"/>
      <c r="D596" s="4"/>
      <c r="E596" s="4"/>
      <c r="F596" s="4"/>
      <c r="G596" s="4"/>
      <c r="H596" s="4"/>
      <c r="I596" s="4"/>
    </row>
    <row r="597" spans="2:9" x14ac:dyDescent="0.2">
      <c r="B597" s="4"/>
      <c r="C597" s="4"/>
      <c r="D597" s="4"/>
      <c r="E597" s="4"/>
      <c r="F597" s="4"/>
      <c r="G597" s="4"/>
      <c r="H597" s="4"/>
      <c r="I597" s="4"/>
    </row>
    <row r="598" spans="2:9" x14ac:dyDescent="0.2">
      <c r="B598" s="4"/>
      <c r="C598" s="4"/>
      <c r="D598" s="4"/>
      <c r="E598" s="4"/>
      <c r="F598" s="4"/>
      <c r="G598" s="4"/>
      <c r="H598" s="4"/>
      <c r="I598" s="4"/>
    </row>
    <row r="599" spans="2:9" x14ac:dyDescent="0.2">
      <c r="B599" s="4"/>
      <c r="C599" s="4"/>
      <c r="D599" s="4"/>
      <c r="E599" s="4"/>
      <c r="F599" s="4"/>
      <c r="G599" s="4"/>
      <c r="H599" s="4"/>
      <c r="I599" s="4"/>
    </row>
    <row r="600" spans="2:9" x14ac:dyDescent="0.2">
      <c r="B600" s="4"/>
      <c r="C600" s="4"/>
      <c r="D600" s="4"/>
      <c r="E600" s="4"/>
      <c r="F600" s="4"/>
      <c r="G600" s="4"/>
      <c r="H600" s="4"/>
      <c r="I600" s="4"/>
    </row>
    <row r="601" spans="2:9" x14ac:dyDescent="0.2">
      <c r="B601" s="4"/>
      <c r="C601" s="4"/>
      <c r="D601" s="4"/>
      <c r="E601" s="4"/>
      <c r="F601" s="4"/>
      <c r="G601" s="4"/>
      <c r="H601" s="4"/>
      <c r="I601" s="4"/>
    </row>
    <row r="602" spans="2:9" x14ac:dyDescent="0.2">
      <c r="B602" s="4"/>
      <c r="C602" s="4"/>
      <c r="D602" s="4"/>
      <c r="E602" s="4"/>
      <c r="F602" s="4"/>
      <c r="G602" s="4"/>
      <c r="H602" s="4"/>
      <c r="I602" s="4"/>
    </row>
    <row r="603" spans="2:9" x14ac:dyDescent="0.2">
      <c r="B603" s="4"/>
      <c r="C603" s="4"/>
      <c r="D603" s="4"/>
      <c r="E603" s="4"/>
      <c r="F603" s="4"/>
      <c r="G603" s="4"/>
      <c r="H603" s="4"/>
      <c r="I603" s="4"/>
    </row>
    <row r="604" spans="2:9" x14ac:dyDescent="0.2">
      <c r="B604" s="4"/>
      <c r="C604" s="4"/>
      <c r="D604" s="4"/>
      <c r="E604" s="4"/>
      <c r="F604" s="4"/>
      <c r="G604" s="4"/>
      <c r="H604" s="4"/>
      <c r="I604" s="4"/>
    </row>
    <row r="605" spans="2:9" x14ac:dyDescent="0.2">
      <c r="B605" s="4"/>
      <c r="C605" s="4"/>
      <c r="D605" s="4"/>
      <c r="E605" s="4"/>
      <c r="F605" s="4"/>
      <c r="G605" s="4"/>
      <c r="H605" s="4"/>
      <c r="I605" s="4"/>
    </row>
    <row r="606" spans="2:9" x14ac:dyDescent="0.2">
      <c r="B606" s="4"/>
      <c r="C606" s="4"/>
      <c r="D606" s="4"/>
      <c r="E606" s="4"/>
      <c r="F606" s="4"/>
      <c r="G606" s="4"/>
      <c r="H606" s="4"/>
      <c r="I606" s="4"/>
    </row>
    <row r="607" spans="2:9" x14ac:dyDescent="0.2">
      <c r="B607" s="4"/>
      <c r="C607" s="4"/>
      <c r="D607" s="4"/>
      <c r="E607" s="4"/>
      <c r="F607" s="4"/>
      <c r="G607" s="4"/>
      <c r="H607" s="4"/>
      <c r="I607" s="4"/>
    </row>
    <row r="608" spans="2:9" x14ac:dyDescent="0.2">
      <c r="B608" s="4"/>
      <c r="C608" s="4"/>
      <c r="D608" s="4"/>
      <c r="E608" s="4"/>
      <c r="F608" s="4"/>
      <c r="G608" s="4"/>
      <c r="H608" s="4"/>
      <c r="I608" s="4"/>
    </row>
    <row r="609" spans="2:9" x14ac:dyDescent="0.2">
      <c r="B609" s="4"/>
      <c r="C609" s="4"/>
      <c r="D609" s="4"/>
      <c r="E609" s="4"/>
      <c r="F609" s="4"/>
      <c r="G609" s="4"/>
      <c r="H609" s="4"/>
      <c r="I609" s="4"/>
    </row>
    <row r="610" spans="2:9" x14ac:dyDescent="0.2">
      <c r="B610" s="4"/>
      <c r="C610" s="4"/>
      <c r="D610" s="4"/>
      <c r="E610" s="4"/>
      <c r="F610" s="4"/>
      <c r="G610" s="4"/>
      <c r="H610" s="4"/>
      <c r="I610" s="4"/>
    </row>
    <row r="611" spans="2:9" x14ac:dyDescent="0.2">
      <c r="B611" s="4"/>
      <c r="C611" s="4"/>
      <c r="D611" s="4"/>
      <c r="E611" s="4"/>
      <c r="F611" s="4"/>
      <c r="G611" s="4"/>
      <c r="H611" s="4"/>
      <c r="I611" s="4"/>
    </row>
    <row r="612" spans="2:9" x14ac:dyDescent="0.2">
      <c r="B612" s="4"/>
      <c r="C612" s="4"/>
      <c r="D612" s="4"/>
      <c r="E612" s="4"/>
      <c r="F612" s="4"/>
      <c r="G612" s="4"/>
      <c r="H612" s="4"/>
      <c r="I612" s="4"/>
    </row>
    <row r="613" spans="2:9" x14ac:dyDescent="0.2">
      <c r="B613" s="4"/>
      <c r="C613" s="4"/>
      <c r="D613" s="4"/>
      <c r="E613" s="4"/>
      <c r="F613" s="4"/>
      <c r="G613" s="4"/>
      <c r="H613" s="4"/>
      <c r="I613" s="4"/>
    </row>
    <row r="614" spans="2:9" x14ac:dyDescent="0.2">
      <c r="B614" s="4"/>
      <c r="C614" s="4"/>
      <c r="D614" s="4"/>
      <c r="E614" s="4"/>
      <c r="F614" s="4"/>
      <c r="G614" s="4"/>
      <c r="H614" s="4"/>
      <c r="I614" s="4"/>
    </row>
    <row r="615" spans="2:9" x14ac:dyDescent="0.2">
      <c r="B615" s="4"/>
      <c r="C615" s="4"/>
      <c r="D615" s="4"/>
      <c r="E615" s="4"/>
      <c r="F615" s="4"/>
      <c r="G615" s="4"/>
      <c r="H615" s="4"/>
      <c r="I615" s="4"/>
    </row>
    <row r="616" spans="2:9" x14ac:dyDescent="0.2">
      <c r="B616" s="4"/>
      <c r="C616" s="4"/>
      <c r="D616" s="4"/>
      <c r="E616" s="4"/>
      <c r="F616" s="4"/>
      <c r="G616" s="4"/>
      <c r="H616" s="4"/>
      <c r="I616" s="4"/>
    </row>
    <row r="617" spans="2:9" x14ac:dyDescent="0.2">
      <c r="B617" s="4"/>
      <c r="C617" s="4"/>
      <c r="D617" s="4"/>
      <c r="E617" s="4"/>
      <c r="F617" s="4"/>
      <c r="G617" s="4"/>
      <c r="H617" s="4"/>
      <c r="I617" s="4"/>
    </row>
    <row r="618" spans="2:9" x14ac:dyDescent="0.2">
      <c r="B618" s="4"/>
      <c r="C618" s="4"/>
      <c r="D618" s="4"/>
      <c r="E618" s="4"/>
      <c r="F618" s="4"/>
      <c r="G618" s="4"/>
      <c r="H618" s="4"/>
      <c r="I618" s="4"/>
    </row>
    <row r="619" spans="2:9" x14ac:dyDescent="0.2">
      <c r="B619" s="4"/>
      <c r="C619" s="4"/>
      <c r="D619" s="4"/>
      <c r="E619" s="4"/>
      <c r="F619" s="4"/>
      <c r="G619" s="4"/>
      <c r="H619" s="4"/>
      <c r="I619" s="4"/>
    </row>
    <row r="620" spans="2:9" x14ac:dyDescent="0.2">
      <c r="B620" s="4"/>
      <c r="C620" s="4"/>
      <c r="D620" s="4"/>
      <c r="E620" s="4"/>
      <c r="F620" s="4"/>
      <c r="G620" s="4"/>
      <c r="H620" s="4"/>
      <c r="I620" s="4"/>
    </row>
    <row r="621" spans="2:9" x14ac:dyDescent="0.2">
      <c r="B621" s="4"/>
      <c r="C621" s="4"/>
      <c r="D621" s="4"/>
      <c r="E621" s="4"/>
      <c r="F621" s="4"/>
      <c r="G621" s="4"/>
      <c r="H621" s="4"/>
      <c r="I621" s="4"/>
    </row>
    <row r="622" spans="2:9" x14ac:dyDescent="0.2">
      <c r="B622" s="4"/>
      <c r="C622" s="4"/>
      <c r="D622" s="4"/>
      <c r="E622" s="4"/>
      <c r="F622" s="4"/>
      <c r="G622" s="4"/>
      <c r="H622" s="4"/>
      <c r="I622" s="4"/>
    </row>
    <row r="623" spans="2:9" x14ac:dyDescent="0.2">
      <c r="B623" s="4"/>
      <c r="C623" s="4"/>
      <c r="D623" s="4"/>
      <c r="E623" s="4"/>
      <c r="F623" s="4"/>
      <c r="G623" s="4"/>
      <c r="H623" s="4"/>
      <c r="I623" s="4"/>
    </row>
    <row r="624" spans="2:9" x14ac:dyDescent="0.2">
      <c r="B624" s="4"/>
      <c r="C624" s="4"/>
      <c r="D624" s="4"/>
      <c r="E624" s="4"/>
      <c r="F624" s="4"/>
      <c r="G624" s="4"/>
      <c r="H624" s="4"/>
      <c r="I624" s="4"/>
    </row>
    <row r="625" spans="2:9" x14ac:dyDescent="0.2">
      <c r="B625" s="4"/>
      <c r="C625" s="4"/>
      <c r="D625" s="4"/>
      <c r="E625" s="4"/>
      <c r="F625" s="4"/>
      <c r="G625" s="4"/>
      <c r="H625" s="4"/>
      <c r="I625" s="4"/>
    </row>
    <row r="626" spans="2:9" x14ac:dyDescent="0.2">
      <c r="B626" s="4"/>
      <c r="C626" s="4"/>
      <c r="D626" s="4"/>
      <c r="E626" s="4"/>
      <c r="F626" s="4"/>
      <c r="G626" s="4"/>
      <c r="H626" s="4"/>
      <c r="I626" s="4"/>
    </row>
    <row r="627" spans="2:9" x14ac:dyDescent="0.2">
      <c r="B627" s="4"/>
      <c r="C627" s="4"/>
      <c r="D627" s="4"/>
      <c r="E627" s="4"/>
      <c r="F627" s="4"/>
      <c r="G627" s="4"/>
      <c r="H627" s="4"/>
      <c r="I627" s="4"/>
    </row>
    <row r="628" spans="2:9" x14ac:dyDescent="0.2">
      <c r="B628" s="4"/>
      <c r="C628" s="4"/>
      <c r="D628" s="4"/>
      <c r="E628" s="4"/>
      <c r="F628" s="4"/>
      <c r="G628" s="4"/>
      <c r="H628" s="4"/>
      <c r="I628" s="4"/>
    </row>
    <row r="629" spans="2:9" x14ac:dyDescent="0.2">
      <c r="B629" s="4"/>
      <c r="C629" s="4"/>
      <c r="D629" s="4"/>
      <c r="E629" s="4"/>
      <c r="F629" s="4"/>
      <c r="G629" s="4"/>
      <c r="H629" s="4"/>
      <c r="I629" s="4"/>
    </row>
    <row r="630" spans="2:9" x14ac:dyDescent="0.2">
      <c r="B630" s="4"/>
      <c r="C630" s="4"/>
      <c r="D630" s="4"/>
      <c r="E630" s="4"/>
      <c r="F630" s="4"/>
      <c r="G630" s="4"/>
      <c r="H630" s="4"/>
      <c r="I630" s="4"/>
    </row>
    <row r="631" spans="2:9" x14ac:dyDescent="0.2">
      <c r="B631" s="4"/>
      <c r="C631" s="4"/>
      <c r="D631" s="4"/>
      <c r="E631" s="4"/>
      <c r="F631" s="4"/>
      <c r="G631" s="4"/>
      <c r="H631" s="4"/>
      <c r="I631" s="4"/>
    </row>
    <row r="632" spans="2:9" x14ac:dyDescent="0.2">
      <c r="B632" s="4"/>
      <c r="C632" s="4"/>
      <c r="D632" s="4"/>
      <c r="E632" s="4"/>
      <c r="F632" s="4"/>
      <c r="G632" s="4"/>
      <c r="H632" s="4"/>
      <c r="I632" s="4"/>
    </row>
    <row r="633" spans="2:9" x14ac:dyDescent="0.2">
      <c r="B633" s="4"/>
      <c r="C633" s="4"/>
      <c r="D633" s="4"/>
      <c r="E633" s="4"/>
      <c r="F633" s="4"/>
      <c r="G633" s="4"/>
      <c r="H633" s="4"/>
      <c r="I633" s="4"/>
    </row>
    <row r="634" spans="2:9" x14ac:dyDescent="0.2">
      <c r="B634" s="4"/>
      <c r="C634" s="4"/>
      <c r="D634" s="4"/>
      <c r="E634" s="4"/>
      <c r="F634" s="4"/>
      <c r="G634" s="4"/>
      <c r="H634" s="4"/>
      <c r="I634" s="4"/>
    </row>
    <row r="635" spans="2:9" x14ac:dyDescent="0.2">
      <c r="B635" s="4"/>
      <c r="C635" s="4"/>
      <c r="D635" s="4"/>
      <c r="E635" s="4"/>
      <c r="F635" s="4"/>
      <c r="G635" s="4"/>
      <c r="H635" s="4"/>
      <c r="I635" s="4"/>
    </row>
    <row r="636" spans="2:9" x14ac:dyDescent="0.2">
      <c r="B636" s="4"/>
      <c r="C636" s="4"/>
      <c r="D636" s="4"/>
      <c r="E636" s="4"/>
      <c r="F636" s="4"/>
      <c r="G636" s="4"/>
      <c r="H636" s="4"/>
      <c r="I636" s="4"/>
    </row>
    <row r="637" spans="2:9" x14ac:dyDescent="0.2">
      <c r="B637" s="4"/>
      <c r="C637" s="4"/>
      <c r="D637" s="4"/>
      <c r="E637" s="4"/>
      <c r="F637" s="4"/>
      <c r="G637" s="4"/>
      <c r="H637" s="4"/>
      <c r="I637" s="4"/>
    </row>
    <row r="638" spans="2:9" x14ac:dyDescent="0.2">
      <c r="B638" s="4"/>
      <c r="C638" s="4"/>
      <c r="D638" s="4"/>
      <c r="E638" s="4"/>
      <c r="F638" s="4"/>
      <c r="G638" s="4"/>
      <c r="H638" s="4"/>
      <c r="I638" s="4"/>
    </row>
    <row r="639" spans="2:9" x14ac:dyDescent="0.2">
      <c r="B639" s="4"/>
      <c r="C639" s="4"/>
      <c r="D639" s="4"/>
      <c r="E639" s="4"/>
      <c r="F639" s="4"/>
      <c r="G639" s="4"/>
      <c r="H639" s="4"/>
      <c r="I639" s="4"/>
    </row>
    <row r="640" spans="2:9" x14ac:dyDescent="0.2">
      <c r="B640" s="4"/>
      <c r="C640" s="4"/>
      <c r="D640" s="4"/>
      <c r="E640" s="4"/>
      <c r="F640" s="4"/>
      <c r="G640" s="4"/>
      <c r="H640" s="4"/>
      <c r="I640" s="4"/>
    </row>
    <row r="641" spans="2:9" x14ac:dyDescent="0.2">
      <c r="B641" s="4"/>
      <c r="C641" s="4"/>
      <c r="D641" s="4"/>
      <c r="E641" s="4"/>
      <c r="F641" s="4"/>
      <c r="G641" s="4"/>
      <c r="H641" s="4"/>
      <c r="I641" s="4"/>
    </row>
    <row r="642" spans="2:9" x14ac:dyDescent="0.2">
      <c r="B642" s="4"/>
      <c r="C642" s="4"/>
      <c r="D642" s="4"/>
      <c r="E642" s="4"/>
      <c r="F642" s="4"/>
      <c r="G642" s="4"/>
      <c r="H642" s="4"/>
      <c r="I642" s="4"/>
    </row>
    <row r="643" spans="2:9" x14ac:dyDescent="0.2">
      <c r="B643" s="4"/>
      <c r="C643" s="4"/>
      <c r="D643" s="4"/>
      <c r="E643" s="4"/>
      <c r="F643" s="4"/>
      <c r="G643" s="4"/>
      <c r="H643" s="4"/>
      <c r="I643" s="4"/>
    </row>
    <row r="644" spans="2:9" x14ac:dyDescent="0.2">
      <c r="B644" s="4"/>
      <c r="C644" s="4"/>
      <c r="D644" s="4"/>
      <c r="E644" s="4"/>
      <c r="F644" s="4"/>
      <c r="G644" s="4"/>
      <c r="H644" s="4"/>
      <c r="I644" s="4"/>
    </row>
    <row r="645" spans="2:9" x14ac:dyDescent="0.2">
      <c r="B645" s="4"/>
      <c r="C645" s="4"/>
      <c r="D645" s="4"/>
      <c r="E645" s="4"/>
      <c r="F645" s="4"/>
      <c r="G645" s="4"/>
      <c r="H645" s="4"/>
      <c r="I645" s="4"/>
    </row>
    <row r="646" spans="2:9" x14ac:dyDescent="0.2">
      <c r="B646" s="4"/>
      <c r="C646" s="4"/>
      <c r="D646" s="4"/>
      <c r="E646" s="4"/>
      <c r="F646" s="4"/>
      <c r="G646" s="4"/>
      <c r="H646" s="4"/>
      <c r="I646" s="4"/>
    </row>
    <row r="647" spans="2:9" x14ac:dyDescent="0.2">
      <c r="B647" s="4"/>
      <c r="C647" s="4"/>
      <c r="D647" s="4"/>
      <c r="E647" s="4"/>
      <c r="F647" s="4"/>
      <c r="G647" s="4"/>
      <c r="H647" s="4"/>
      <c r="I647" s="4"/>
    </row>
    <row r="648" spans="2:9" x14ac:dyDescent="0.2">
      <c r="B648" s="4"/>
      <c r="C648" s="4"/>
      <c r="D648" s="4"/>
      <c r="E648" s="4"/>
      <c r="F648" s="4"/>
      <c r="G648" s="4"/>
      <c r="H648" s="4"/>
      <c r="I648" s="4"/>
    </row>
    <row r="649" spans="2:9" x14ac:dyDescent="0.2">
      <c r="B649" s="4"/>
      <c r="C649" s="4"/>
      <c r="D649" s="4"/>
      <c r="E649" s="4"/>
      <c r="F649" s="4"/>
      <c r="G649" s="4"/>
      <c r="H649" s="4"/>
      <c r="I649" s="4"/>
    </row>
    <row r="650" spans="2:9" x14ac:dyDescent="0.2">
      <c r="B650" s="4"/>
      <c r="C650" s="4"/>
      <c r="D650" s="4"/>
      <c r="E650" s="4"/>
      <c r="F650" s="4"/>
      <c r="G650" s="4"/>
      <c r="H650" s="4"/>
      <c r="I650" s="4"/>
    </row>
    <row r="651" spans="2:9" x14ac:dyDescent="0.2">
      <c r="B651" s="4"/>
      <c r="C651" s="4"/>
      <c r="D651" s="4"/>
      <c r="E651" s="4"/>
      <c r="F651" s="4"/>
      <c r="G651" s="4"/>
      <c r="H651" s="4"/>
      <c r="I651" s="4"/>
    </row>
    <row r="652" spans="2:9" x14ac:dyDescent="0.2">
      <c r="B652" s="4"/>
      <c r="C652" s="4"/>
      <c r="D652" s="4"/>
      <c r="E652" s="4"/>
      <c r="F652" s="4"/>
      <c r="G652" s="4"/>
      <c r="H652" s="4"/>
      <c r="I652" s="4"/>
    </row>
    <row r="653" spans="2:9" x14ac:dyDescent="0.2">
      <c r="B653" s="4"/>
      <c r="C653" s="4"/>
      <c r="D653" s="4"/>
      <c r="E653" s="4"/>
      <c r="F653" s="4"/>
      <c r="G653" s="4"/>
      <c r="H653" s="4"/>
      <c r="I653" s="4"/>
    </row>
    <row r="654" spans="2:9" x14ac:dyDescent="0.2">
      <c r="B654" s="4"/>
      <c r="C654" s="4"/>
      <c r="D654" s="4"/>
      <c r="E654" s="4"/>
      <c r="F654" s="4"/>
      <c r="G654" s="4"/>
      <c r="H654" s="4"/>
      <c r="I654" s="4"/>
    </row>
    <row r="655" spans="2:9" x14ac:dyDescent="0.2">
      <c r="B655" s="4"/>
      <c r="C655" s="4"/>
      <c r="D655" s="4"/>
      <c r="E655" s="4"/>
      <c r="F655" s="4"/>
      <c r="G655" s="4"/>
      <c r="H655" s="4"/>
      <c r="I655" s="4"/>
    </row>
    <row r="656" spans="2:9" x14ac:dyDescent="0.2">
      <c r="B656" s="4"/>
      <c r="C656" s="4"/>
      <c r="D656" s="4"/>
      <c r="E656" s="4"/>
      <c r="F656" s="4"/>
      <c r="G656" s="4"/>
      <c r="H656" s="4"/>
      <c r="I656" s="4"/>
    </row>
    <row r="657" spans="2:9" x14ac:dyDescent="0.2">
      <c r="B657" s="4"/>
      <c r="C657" s="4"/>
      <c r="D657" s="4"/>
      <c r="E657" s="4"/>
      <c r="F657" s="4"/>
      <c r="G657" s="4"/>
      <c r="H657" s="4"/>
      <c r="I657" s="4"/>
    </row>
    <row r="658" spans="2:9" x14ac:dyDescent="0.2">
      <c r="B658" s="4"/>
      <c r="C658" s="4"/>
      <c r="D658" s="4"/>
      <c r="E658" s="4"/>
      <c r="F658" s="4"/>
      <c r="G658" s="4"/>
      <c r="H658" s="4"/>
      <c r="I658" s="4"/>
    </row>
    <row r="659" spans="2:9" x14ac:dyDescent="0.2">
      <c r="B659" s="4"/>
      <c r="C659" s="4"/>
      <c r="D659" s="4"/>
      <c r="E659" s="4"/>
      <c r="F659" s="4"/>
      <c r="G659" s="4"/>
      <c r="H659" s="4"/>
      <c r="I659" s="4"/>
    </row>
    <row r="660" spans="2:9" x14ac:dyDescent="0.2">
      <c r="B660" s="4"/>
      <c r="C660" s="4"/>
      <c r="D660" s="4"/>
      <c r="E660" s="4"/>
      <c r="F660" s="4"/>
      <c r="G660" s="4"/>
      <c r="H660" s="4"/>
      <c r="I660" s="4"/>
    </row>
    <row r="661" spans="2:9" x14ac:dyDescent="0.2">
      <c r="B661" s="4"/>
      <c r="C661" s="4"/>
      <c r="D661" s="4"/>
      <c r="E661" s="4"/>
      <c r="F661" s="4"/>
      <c r="G661" s="4"/>
      <c r="H661" s="4"/>
      <c r="I661" s="4"/>
    </row>
    <row r="662" spans="2:9" x14ac:dyDescent="0.2">
      <c r="B662" s="4"/>
      <c r="C662" s="4"/>
      <c r="D662" s="4"/>
      <c r="E662" s="4"/>
      <c r="F662" s="4"/>
      <c r="G662" s="4"/>
      <c r="H662" s="4"/>
      <c r="I662" s="4"/>
    </row>
    <row r="663" spans="2:9" x14ac:dyDescent="0.2">
      <c r="B663" s="4"/>
      <c r="C663" s="4"/>
      <c r="D663" s="4"/>
      <c r="E663" s="4"/>
      <c r="F663" s="4"/>
      <c r="G663" s="4"/>
      <c r="H663" s="4"/>
      <c r="I663" s="4"/>
    </row>
    <row r="664" spans="2:9" x14ac:dyDescent="0.2">
      <c r="B664" s="4"/>
      <c r="C664" s="4"/>
      <c r="D664" s="4"/>
      <c r="E664" s="4"/>
      <c r="F664" s="4"/>
      <c r="G664" s="4"/>
      <c r="H664" s="4"/>
      <c r="I664" s="4"/>
    </row>
    <row r="665" spans="2:9" x14ac:dyDescent="0.2">
      <c r="B665" s="4"/>
      <c r="C665" s="4"/>
      <c r="D665" s="4"/>
      <c r="E665" s="4"/>
      <c r="F665" s="4"/>
      <c r="G665" s="4"/>
      <c r="H665" s="4"/>
      <c r="I665" s="4"/>
    </row>
    <row r="666" spans="2:9" x14ac:dyDescent="0.2">
      <c r="B666" s="4"/>
      <c r="C666" s="4"/>
      <c r="D666" s="4"/>
      <c r="E666" s="4"/>
      <c r="F666" s="4"/>
      <c r="G666" s="4"/>
      <c r="H666" s="4"/>
      <c r="I666" s="4"/>
    </row>
    <row r="667" spans="2:9" x14ac:dyDescent="0.2">
      <c r="B667" s="4"/>
      <c r="C667" s="4"/>
      <c r="D667" s="4"/>
      <c r="E667" s="4"/>
      <c r="F667" s="4"/>
      <c r="G667" s="4"/>
      <c r="H667" s="4"/>
      <c r="I667" s="4"/>
    </row>
    <row r="668" spans="2:9" x14ac:dyDescent="0.2">
      <c r="B668" s="4"/>
      <c r="C668" s="4"/>
      <c r="D668" s="4"/>
      <c r="E668" s="4"/>
      <c r="F668" s="4"/>
      <c r="G668" s="4"/>
      <c r="H668" s="4"/>
      <c r="I668" s="4"/>
    </row>
    <row r="669" spans="2:9" x14ac:dyDescent="0.2">
      <c r="B669" s="4"/>
      <c r="C669" s="4"/>
      <c r="D669" s="4"/>
      <c r="E669" s="4"/>
      <c r="F669" s="4"/>
      <c r="G669" s="4"/>
      <c r="H669" s="4"/>
      <c r="I669" s="4"/>
    </row>
    <row r="670" spans="2:9" x14ac:dyDescent="0.2">
      <c r="B670" s="4"/>
      <c r="C670" s="4"/>
      <c r="D670" s="4"/>
      <c r="E670" s="4"/>
      <c r="F670" s="4"/>
      <c r="G670" s="4"/>
      <c r="H670" s="4"/>
      <c r="I670" s="4"/>
    </row>
    <row r="671" spans="2:9" x14ac:dyDescent="0.2">
      <c r="B671" s="4"/>
      <c r="C671" s="4"/>
      <c r="D671" s="4"/>
      <c r="E671" s="4"/>
      <c r="F671" s="4"/>
      <c r="G671" s="4"/>
      <c r="H671" s="4"/>
      <c r="I671" s="4"/>
    </row>
    <row r="672" spans="2:9" x14ac:dyDescent="0.2">
      <c r="B672" s="4"/>
      <c r="C672" s="4"/>
      <c r="D672" s="4"/>
      <c r="E672" s="4"/>
      <c r="F672" s="4"/>
      <c r="G672" s="4"/>
      <c r="H672" s="4"/>
      <c r="I672" s="4"/>
    </row>
    <row r="673" spans="2:9" x14ac:dyDescent="0.2">
      <c r="B673" s="4"/>
      <c r="C673" s="4"/>
      <c r="D673" s="4"/>
      <c r="E673" s="4"/>
      <c r="F673" s="4"/>
      <c r="G673" s="4"/>
      <c r="H673" s="4"/>
      <c r="I673" s="4"/>
    </row>
    <row r="674" spans="2:9" x14ac:dyDescent="0.2">
      <c r="B674" s="4"/>
      <c r="C674" s="4"/>
      <c r="D674" s="4"/>
      <c r="E674" s="4"/>
      <c r="F674" s="4"/>
      <c r="G674" s="4"/>
      <c r="H674" s="4"/>
      <c r="I674" s="4"/>
    </row>
    <row r="675" spans="2:9" x14ac:dyDescent="0.2">
      <c r="B675" s="4"/>
      <c r="C675" s="4"/>
      <c r="D675" s="4"/>
      <c r="E675" s="4"/>
      <c r="F675" s="4"/>
      <c r="G675" s="4"/>
      <c r="H675" s="4"/>
      <c r="I675" s="4"/>
    </row>
    <row r="676" spans="2:9" x14ac:dyDescent="0.2">
      <c r="B676" s="4"/>
      <c r="C676" s="4"/>
      <c r="D676" s="4"/>
      <c r="E676" s="4"/>
      <c r="F676" s="4"/>
      <c r="G676" s="4"/>
      <c r="H676" s="4"/>
      <c r="I676" s="4"/>
    </row>
    <row r="677" spans="2:9" x14ac:dyDescent="0.2">
      <c r="B677" s="4"/>
      <c r="C677" s="4"/>
      <c r="D677" s="4"/>
      <c r="E677" s="4"/>
      <c r="F677" s="4"/>
      <c r="G677" s="4"/>
      <c r="H677" s="4"/>
      <c r="I677" s="4"/>
    </row>
    <row r="678" spans="2:9" x14ac:dyDescent="0.2">
      <c r="B678" s="4"/>
      <c r="C678" s="4"/>
      <c r="D678" s="4"/>
      <c r="E678" s="4"/>
      <c r="F678" s="4"/>
      <c r="G678" s="4"/>
      <c r="H678" s="4"/>
      <c r="I678" s="4"/>
    </row>
    <row r="679" spans="2:9" x14ac:dyDescent="0.2">
      <c r="B679" s="4"/>
      <c r="C679" s="4"/>
      <c r="D679" s="4"/>
      <c r="E679" s="4"/>
      <c r="F679" s="4"/>
      <c r="G679" s="4"/>
      <c r="H679" s="4"/>
      <c r="I679" s="4"/>
    </row>
    <row r="680" spans="2:9" x14ac:dyDescent="0.2">
      <c r="B680" s="4"/>
      <c r="C680" s="4"/>
      <c r="D680" s="4"/>
      <c r="E680" s="4"/>
      <c r="F680" s="4"/>
      <c r="G680" s="4"/>
      <c r="H680" s="4"/>
      <c r="I680" s="4"/>
    </row>
    <row r="681" spans="2:9" x14ac:dyDescent="0.2">
      <c r="B681" s="4"/>
      <c r="C681" s="4"/>
      <c r="D681" s="4"/>
      <c r="E681" s="4"/>
      <c r="F681" s="4"/>
      <c r="G681" s="4"/>
      <c r="H681" s="4"/>
      <c r="I681" s="4"/>
    </row>
    <row r="682" spans="2:9" x14ac:dyDescent="0.2">
      <c r="B682" s="4"/>
      <c r="C682" s="4"/>
      <c r="D682" s="4"/>
      <c r="E682" s="4"/>
      <c r="F682" s="4"/>
      <c r="G682" s="4"/>
      <c r="H682" s="4"/>
      <c r="I682" s="4"/>
    </row>
    <row r="683" spans="2:9" x14ac:dyDescent="0.2">
      <c r="B683" s="4"/>
      <c r="C683" s="4"/>
      <c r="D683" s="4"/>
      <c r="E683" s="4"/>
      <c r="F683" s="4"/>
      <c r="G683" s="4"/>
      <c r="H683" s="4"/>
      <c r="I683" s="4"/>
    </row>
    <row r="684" spans="2:9" x14ac:dyDescent="0.2">
      <c r="B684" s="4"/>
      <c r="C684" s="4"/>
      <c r="D684" s="4"/>
      <c r="E684" s="4"/>
      <c r="F684" s="4"/>
      <c r="G684" s="4"/>
      <c r="H684" s="4"/>
      <c r="I684" s="4"/>
    </row>
    <row r="685" spans="2:9" x14ac:dyDescent="0.2">
      <c r="B685" s="4"/>
      <c r="C685" s="4"/>
      <c r="D685" s="4"/>
      <c r="E685" s="4"/>
      <c r="F685" s="4"/>
      <c r="G685" s="4"/>
      <c r="H685" s="4"/>
      <c r="I685" s="4"/>
    </row>
    <row r="686" spans="2:9" x14ac:dyDescent="0.2">
      <c r="B686" s="4"/>
      <c r="C686" s="4"/>
      <c r="D686" s="4"/>
      <c r="E686" s="4"/>
      <c r="F686" s="4"/>
      <c r="G686" s="4"/>
      <c r="H686" s="4"/>
      <c r="I686" s="4"/>
    </row>
    <row r="687" spans="2:9" x14ac:dyDescent="0.2">
      <c r="B687" s="4"/>
      <c r="C687" s="4"/>
      <c r="D687" s="4"/>
      <c r="E687" s="4"/>
      <c r="F687" s="4"/>
      <c r="G687" s="4"/>
      <c r="H687" s="4"/>
      <c r="I687" s="4"/>
    </row>
    <row r="688" spans="2:9" x14ac:dyDescent="0.2">
      <c r="B688" s="4"/>
      <c r="C688" s="4"/>
      <c r="D688" s="4"/>
      <c r="E688" s="4"/>
      <c r="F688" s="4"/>
      <c r="G688" s="4"/>
      <c r="H688" s="4"/>
      <c r="I688" s="4"/>
    </row>
    <row r="689" spans="2:9" x14ac:dyDescent="0.2">
      <c r="B689" s="4"/>
      <c r="C689" s="4"/>
      <c r="D689" s="4"/>
      <c r="E689" s="4"/>
      <c r="F689" s="4"/>
      <c r="G689" s="4"/>
      <c r="H689" s="4"/>
      <c r="I689" s="4"/>
    </row>
    <row r="690" spans="2:9" x14ac:dyDescent="0.2">
      <c r="B690" s="4"/>
      <c r="C690" s="4"/>
      <c r="D690" s="4"/>
      <c r="E690" s="4"/>
      <c r="F690" s="4"/>
      <c r="G690" s="4"/>
      <c r="H690" s="4"/>
      <c r="I690" s="4"/>
    </row>
    <row r="691" spans="2:9" x14ac:dyDescent="0.2">
      <c r="B691" s="4"/>
      <c r="C691" s="4"/>
      <c r="D691" s="4"/>
      <c r="E691" s="4"/>
      <c r="F691" s="4"/>
      <c r="G691" s="4"/>
      <c r="H691" s="4"/>
      <c r="I691" s="4"/>
    </row>
    <row r="692" spans="2:9" x14ac:dyDescent="0.2">
      <c r="B692" s="4"/>
      <c r="C692" s="4"/>
      <c r="D692" s="4"/>
      <c r="E692" s="4"/>
      <c r="F692" s="4"/>
      <c r="G692" s="4"/>
      <c r="H692" s="4"/>
      <c r="I692" s="4"/>
    </row>
    <row r="693" spans="2:9" x14ac:dyDescent="0.2">
      <c r="B693" s="4"/>
      <c r="C693" s="4"/>
      <c r="D693" s="4"/>
      <c r="E693" s="4"/>
      <c r="F693" s="4"/>
      <c r="G693" s="4"/>
      <c r="H693" s="4"/>
      <c r="I693" s="4"/>
    </row>
    <row r="694" spans="2:9" x14ac:dyDescent="0.2">
      <c r="B694" s="4"/>
      <c r="C694" s="4"/>
      <c r="D694" s="4"/>
      <c r="E694" s="4"/>
      <c r="F694" s="4"/>
      <c r="G694" s="4"/>
      <c r="H694" s="4"/>
      <c r="I694" s="4"/>
    </row>
    <row r="695" spans="2:9" x14ac:dyDescent="0.2">
      <c r="B695" s="4"/>
      <c r="C695" s="4"/>
      <c r="D695" s="4"/>
      <c r="E695" s="4"/>
      <c r="F695" s="4"/>
      <c r="G695" s="4"/>
      <c r="H695" s="4"/>
      <c r="I695" s="4"/>
    </row>
    <row r="696" spans="2:9" x14ac:dyDescent="0.2">
      <c r="B696" s="4"/>
      <c r="C696" s="4"/>
      <c r="D696" s="4"/>
      <c r="E696" s="4"/>
      <c r="F696" s="4"/>
      <c r="G696" s="4"/>
      <c r="H696" s="4"/>
      <c r="I696" s="4"/>
    </row>
    <row r="697" spans="2:9" x14ac:dyDescent="0.2">
      <c r="B697" s="4"/>
      <c r="C697" s="4"/>
      <c r="D697" s="4"/>
      <c r="E697" s="4"/>
      <c r="F697" s="4"/>
      <c r="G697" s="4"/>
      <c r="H697" s="4"/>
      <c r="I697" s="4"/>
    </row>
    <row r="698" spans="2:9" x14ac:dyDescent="0.2">
      <c r="B698" s="4"/>
      <c r="C698" s="4"/>
      <c r="D698" s="4"/>
      <c r="E698" s="4"/>
      <c r="F698" s="4"/>
      <c r="G698" s="4"/>
      <c r="H698" s="4"/>
      <c r="I698" s="4"/>
    </row>
    <row r="699" spans="2:9" x14ac:dyDescent="0.2">
      <c r="B699" s="4"/>
      <c r="C699" s="4"/>
      <c r="D699" s="4"/>
      <c r="E699" s="4"/>
      <c r="F699" s="4"/>
      <c r="G699" s="4"/>
      <c r="H699" s="4"/>
      <c r="I699" s="4"/>
    </row>
    <row r="700" spans="2:9" x14ac:dyDescent="0.2">
      <c r="B700" s="4"/>
      <c r="C700" s="4"/>
      <c r="D700" s="4"/>
      <c r="E700" s="4"/>
      <c r="F700" s="4"/>
      <c r="G700" s="4"/>
      <c r="H700" s="4"/>
      <c r="I700" s="4"/>
    </row>
    <row r="701" spans="2:9" x14ac:dyDescent="0.2">
      <c r="B701" s="4"/>
      <c r="C701" s="4"/>
      <c r="D701" s="4"/>
      <c r="E701" s="4"/>
      <c r="F701" s="4"/>
      <c r="G701" s="4"/>
      <c r="H701" s="4"/>
      <c r="I701" s="4"/>
    </row>
    <row r="702" spans="2:9" x14ac:dyDescent="0.2">
      <c r="B702" s="4"/>
      <c r="C702" s="4"/>
      <c r="D702" s="4"/>
      <c r="E702" s="4"/>
      <c r="F702" s="4"/>
      <c r="G702" s="4"/>
      <c r="H702" s="4"/>
      <c r="I702" s="4"/>
    </row>
    <row r="703" spans="2:9" x14ac:dyDescent="0.2">
      <c r="B703" s="4"/>
      <c r="C703" s="4"/>
      <c r="D703" s="4"/>
      <c r="E703" s="4"/>
      <c r="F703" s="4"/>
      <c r="G703" s="4"/>
      <c r="H703" s="4"/>
      <c r="I703" s="4"/>
    </row>
    <row r="704" spans="2:9" x14ac:dyDescent="0.2">
      <c r="B704" s="4"/>
      <c r="C704" s="4"/>
      <c r="D704" s="4"/>
      <c r="E704" s="4"/>
      <c r="F704" s="4"/>
      <c r="G704" s="4"/>
      <c r="H704" s="4"/>
      <c r="I704" s="4"/>
    </row>
    <row r="705" spans="2:9" x14ac:dyDescent="0.2">
      <c r="B705" s="4"/>
      <c r="C705" s="4"/>
      <c r="D705" s="4"/>
      <c r="E705" s="4"/>
      <c r="F705" s="4"/>
      <c r="G705" s="4"/>
      <c r="H705" s="4"/>
      <c r="I705" s="4"/>
    </row>
    <row r="706" spans="2:9" x14ac:dyDescent="0.2">
      <c r="B706" s="4"/>
      <c r="C706" s="4"/>
      <c r="D706" s="4"/>
      <c r="E706" s="4"/>
      <c r="F706" s="4"/>
      <c r="G706" s="4"/>
      <c r="H706" s="4"/>
      <c r="I706" s="4"/>
    </row>
    <row r="707" spans="2:9" x14ac:dyDescent="0.2">
      <c r="B707" s="4"/>
      <c r="C707" s="4"/>
      <c r="D707" s="4"/>
      <c r="E707" s="4"/>
      <c r="F707" s="4"/>
      <c r="G707" s="4"/>
      <c r="H707" s="4"/>
      <c r="I707" s="4"/>
    </row>
    <row r="708" spans="2:9" x14ac:dyDescent="0.2">
      <c r="B708" s="4"/>
      <c r="C708" s="4"/>
      <c r="D708" s="4"/>
      <c r="E708" s="4"/>
      <c r="F708" s="4"/>
      <c r="G708" s="4"/>
      <c r="H708" s="4"/>
      <c r="I708" s="4"/>
    </row>
    <row r="709" spans="2:9" x14ac:dyDescent="0.2">
      <c r="B709" s="4"/>
      <c r="C709" s="4"/>
      <c r="D709" s="4"/>
      <c r="E709" s="4"/>
      <c r="F709" s="4"/>
      <c r="G709" s="4"/>
      <c r="H709" s="4"/>
      <c r="I709" s="4"/>
    </row>
    <row r="710" spans="2:9" x14ac:dyDescent="0.2">
      <c r="B710" s="4"/>
      <c r="C710" s="4"/>
      <c r="D710" s="4"/>
      <c r="E710" s="4"/>
      <c r="F710" s="4"/>
      <c r="G710" s="4"/>
      <c r="H710" s="4"/>
      <c r="I710" s="4"/>
    </row>
    <row r="711" spans="2:9" x14ac:dyDescent="0.2">
      <c r="B711" s="4"/>
      <c r="C711" s="4"/>
      <c r="D711" s="4"/>
      <c r="E711" s="4"/>
      <c r="F711" s="4"/>
      <c r="G711" s="4"/>
      <c r="H711" s="4"/>
      <c r="I711" s="4"/>
    </row>
    <row r="712" spans="2:9" x14ac:dyDescent="0.2">
      <c r="B712" s="4"/>
      <c r="C712" s="4"/>
      <c r="D712" s="4"/>
      <c r="E712" s="4"/>
      <c r="F712" s="4"/>
      <c r="G712" s="4"/>
      <c r="H712" s="4"/>
      <c r="I712" s="4"/>
    </row>
    <row r="713" spans="2:9" x14ac:dyDescent="0.2">
      <c r="B713" s="4"/>
      <c r="C713" s="4"/>
      <c r="D713" s="4"/>
      <c r="E713" s="4"/>
      <c r="F713" s="4"/>
      <c r="G713" s="4"/>
      <c r="H713" s="4"/>
      <c r="I713" s="4"/>
    </row>
    <row r="714" spans="2:9" x14ac:dyDescent="0.2">
      <c r="B714" s="4"/>
      <c r="C714" s="4"/>
      <c r="D714" s="4"/>
      <c r="E714" s="4"/>
      <c r="F714" s="4"/>
      <c r="G714" s="4"/>
      <c r="H714" s="4"/>
      <c r="I714" s="4"/>
    </row>
    <row r="715" spans="2:9" x14ac:dyDescent="0.2">
      <c r="B715" s="4"/>
      <c r="C715" s="4"/>
      <c r="D715" s="4"/>
      <c r="E715" s="4"/>
      <c r="F715" s="4"/>
      <c r="G715" s="4"/>
      <c r="H715" s="4"/>
      <c r="I715" s="4"/>
    </row>
    <row r="716" spans="2:9" x14ac:dyDescent="0.2">
      <c r="B716" s="4"/>
      <c r="C716" s="4"/>
      <c r="D716" s="4"/>
      <c r="E716" s="4"/>
      <c r="F716" s="4"/>
      <c r="G716" s="4"/>
      <c r="H716" s="4"/>
      <c r="I716" s="4"/>
    </row>
    <row r="717" spans="2:9" x14ac:dyDescent="0.2">
      <c r="B717" s="4"/>
      <c r="C717" s="4"/>
      <c r="D717" s="4"/>
      <c r="E717" s="4"/>
      <c r="F717" s="4"/>
      <c r="G717" s="4"/>
      <c r="H717" s="4"/>
      <c r="I717" s="4"/>
    </row>
    <row r="718" spans="2:9" x14ac:dyDescent="0.2">
      <c r="B718" s="4"/>
      <c r="C718" s="4"/>
      <c r="D718" s="4"/>
      <c r="E718" s="4"/>
      <c r="F718" s="4"/>
      <c r="G718" s="4"/>
      <c r="H718" s="4"/>
      <c r="I718" s="4"/>
    </row>
    <row r="719" spans="2:9" x14ac:dyDescent="0.2">
      <c r="B719" s="4"/>
      <c r="C719" s="4"/>
      <c r="D719" s="4"/>
      <c r="E719" s="4"/>
      <c r="F719" s="4"/>
      <c r="G719" s="4"/>
      <c r="H719" s="4"/>
      <c r="I719" s="4"/>
    </row>
    <row r="720" spans="2:9" x14ac:dyDescent="0.2">
      <c r="B720" s="4"/>
      <c r="C720" s="4"/>
      <c r="D720" s="4"/>
      <c r="E720" s="4"/>
      <c r="F720" s="4"/>
      <c r="G720" s="4"/>
      <c r="H720" s="4"/>
      <c r="I720" s="4"/>
    </row>
    <row r="721" spans="2:9" x14ac:dyDescent="0.2">
      <c r="B721" s="4"/>
      <c r="C721" s="4"/>
      <c r="D721" s="4"/>
      <c r="E721" s="4"/>
      <c r="F721" s="4"/>
      <c r="G721" s="4"/>
      <c r="H721" s="4"/>
      <c r="I721" s="4"/>
    </row>
    <row r="722" spans="2:9" x14ac:dyDescent="0.2">
      <c r="B722" s="4"/>
      <c r="C722" s="4"/>
      <c r="D722" s="4"/>
      <c r="E722" s="4"/>
      <c r="F722" s="4"/>
      <c r="G722" s="4"/>
      <c r="H722" s="4"/>
      <c r="I722" s="4"/>
    </row>
    <row r="723" spans="2:9" x14ac:dyDescent="0.2">
      <c r="B723" s="4"/>
      <c r="C723" s="4"/>
      <c r="D723" s="4"/>
      <c r="E723" s="4"/>
      <c r="F723" s="4"/>
      <c r="G723" s="4"/>
      <c r="H723" s="4"/>
      <c r="I723" s="4"/>
    </row>
    <row r="724" spans="2:9" x14ac:dyDescent="0.2">
      <c r="B724" s="4"/>
      <c r="C724" s="4"/>
      <c r="D724" s="4"/>
      <c r="E724" s="4"/>
      <c r="F724" s="4"/>
      <c r="G724" s="4"/>
      <c r="H724" s="4"/>
      <c r="I724" s="4"/>
    </row>
    <row r="725" spans="2:9" x14ac:dyDescent="0.2">
      <c r="B725" s="4"/>
      <c r="C725" s="4"/>
      <c r="D725" s="4"/>
      <c r="E725" s="4"/>
      <c r="F725" s="4"/>
      <c r="G725" s="4"/>
      <c r="H725" s="4"/>
      <c r="I725" s="4"/>
    </row>
    <row r="726" spans="2:9" x14ac:dyDescent="0.2">
      <c r="B726" s="4"/>
      <c r="C726" s="4"/>
      <c r="D726" s="4"/>
      <c r="E726" s="4"/>
      <c r="F726" s="4"/>
      <c r="G726" s="4"/>
      <c r="H726" s="4"/>
      <c r="I726" s="4"/>
    </row>
    <row r="727" spans="2:9" x14ac:dyDescent="0.2">
      <c r="B727" s="4"/>
      <c r="C727" s="4"/>
      <c r="D727" s="4"/>
      <c r="E727" s="4"/>
      <c r="F727" s="4"/>
      <c r="G727" s="4"/>
      <c r="H727" s="4"/>
      <c r="I727" s="4"/>
    </row>
    <row r="728" spans="2:9" x14ac:dyDescent="0.2">
      <c r="B728" s="4"/>
      <c r="C728" s="4"/>
      <c r="D728" s="4"/>
      <c r="E728" s="4"/>
      <c r="F728" s="4"/>
      <c r="G728" s="4"/>
      <c r="H728" s="4"/>
      <c r="I728" s="4"/>
    </row>
    <row r="729" spans="2:9" x14ac:dyDescent="0.2">
      <c r="B729" s="4"/>
      <c r="C729" s="4"/>
      <c r="D729" s="4"/>
      <c r="E729" s="4"/>
      <c r="F729" s="4"/>
      <c r="G729" s="4"/>
      <c r="H729" s="4"/>
      <c r="I729" s="4"/>
    </row>
    <row r="730" spans="2:9" x14ac:dyDescent="0.2">
      <c r="B730" s="4"/>
      <c r="C730" s="4"/>
      <c r="D730" s="4"/>
      <c r="E730" s="4"/>
      <c r="F730" s="4"/>
      <c r="G730" s="4"/>
      <c r="H730" s="4"/>
      <c r="I730" s="4"/>
    </row>
    <row r="731" spans="2:9" x14ac:dyDescent="0.2">
      <c r="B731" s="4"/>
      <c r="C731" s="4"/>
      <c r="D731" s="4"/>
      <c r="E731" s="4"/>
      <c r="F731" s="4"/>
      <c r="G731" s="4"/>
      <c r="H731" s="4"/>
      <c r="I731" s="4"/>
    </row>
    <row r="732" spans="2:9" x14ac:dyDescent="0.2">
      <c r="B732" s="4"/>
      <c r="C732" s="4"/>
      <c r="D732" s="4"/>
      <c r="E732" s="4"/>
      <c r="F732" s="4"/>
      <c r="G732" s="4"/>
      <c r="H732" s="4"/>
      <c r="I732" s="4"/>
    </row>
    <row r="733" spans="2:9" x14ac:dyDescent="0.2">
      <c r="B733" s="4"/>
      <c r="C733" s="4"/>
      <c r="D733" s="4"/>
      <c r="E733" s="4"/>
      <c r="F733" s="4"/>
      <c r="G733" s="4"/>
      <c r="H733" s="4"/>
      <c r="I733" s="4"/>
    </row>
    <row r="734" spans="2:9" x14ac:dyDescent="0.2">
      <c r="B734" s="4"/>
      <c r="C734" s="4"/>
      <c r="D734" s="4"/>
      <c r="E734" s="4"/>
      <c r="F734" s="4"/>
      <c r="G734" s="4"/>
      <c r="H734" s="4"/>
      <c r="I734" s="4"/>
    </row>
    <row r="735" spans="2:9" x14ac:dyDescent="0.2">
      <c r="B735" s="4"/>
      <c r="C735" s="4"/>
      <c r="D735" s="4"/>
      <c r="E735" s="4"/>
      <c r="F735" s="4"/>
      <c r="G735" s="4"/>
      <c r="H735" s="4"/>
      <c r="I735" s="4"/>
    </row>
    <row r="736" spans="2:9" x14ac:dyDescent="0.2">
      <c r="B736" s="4"/>
      <c r="C736" s="4"/>
      <c r="D736" s="4"/>
      <c r="E736" s="4"/>
      <c r="F736" s="4"/>
      <c r="G736" s="4"/>
      <c r="H736" s="4"/>
      <c r="I736" s="4"/>
    </row>
    <row r="737" spans="2:9" x14ac:dyDescent="0.2">
      <c r="B737" s="4"/>
      <c r="C737" s="4"/>
      <c r="D737" s="4"/>
      <c r="E737" s="4"/>
      <c r="F737" s="4"/>
      <c r="G737" s="4"/>
      <c r="H737" s="4"/>
      <c r="I737" s="4"/>
    </row>
    <row r="738" spans="2:9" x14ac:dyDescent="0.2">
      <c r="B738" s="4"/>
      <c r="C738" s="4"/>
      <c r="D738" s="4"/>
      <c r="E738" s="4"/>
      <c r="F738" s="4"/>
      <c r="G738" s="4"/>
      <c r="H738" s="4"/>
      <c r="I738" s="4"/>
    </row>
    <row r="739" spans="2:9" x14ac:dyDescent="0.2">
      <c r="B739" s="4"/>
      <c r="C739" s="4"/>
      <c r="D739" s="4"/>
      <c r="E739" s="4"/>
      <c r="F739" s="4"/>
      <c r="G739" s="4"/>
      <c r="H739" s="4"/>
      <c r="I739" s="4"/>
    </row>
    <row r="740" spans="2:9" x14ac:dyDescent="0.2">
      <c r="B740" s="4"/>
      <c r="C740" s="4"/>
      <c r="D740" s="4"/>
      <c r="E740" s="4"/>
      <c r="F740" s="4"/>
      <c r="G740" s="4"/>
      <c r="H740" s="4"/>
      <c r="I740" s="4"/>
    </row>
    <row r="741" spans="2:9" x14ac:dyDescent="0.2">
      <c r="B741" s="4"/>
      <c r="C741" s="4"/>
      <c r="D741" s="4"/>
      <c r="E741" s="4"/>
      <c r="F741" s="4"/>
      <c r="G741" s="4"/>
      <c r="H741" s="4"/>
      <c r="I741" s="4"/>
    </row>
    <row r="742" spans="2:9" x14ac:dyDescent="0.2">
      <c r="B742" s="4"/>
      <c r="C742" s="4"/>
      <c r="D742" s="4"/>
      <c r="E742" s="4"/>
      <c r="F742" s="4"/>
      <c r="G742" s="4"/>
      <c r="H742" s="4"/>
      <c r="I742" s="4"/>
    </row>
    <row r="743" spans="2:9" x14ac:dyDescent="0.2">
      <c r="B743" s="4"/>
      <c r="C743" s="4"/>
      <c r="D743" s="4"/>
      <c r="E743" s="4"/>
      <c r="F743" s="4"/>
      <c r="G743" s="4"/>
      <c r="H743" s="4"/>
      <c r="I743" s="4"/>
    </row>
    <row r="744" spans="2:9" x14ac:dyDescent="0.2">
      <c r="B744" s="4"/>
      <c r="C744" s="4"/>
      <c r="D744" s="4"/>
      <c r="E744" s="4"/>
      <c r="F744" s="4"/>
      <c r="G744" s="4"/>
      <c r="H744" s="4"/>
      <c r="I744" s="4"/>
    </row>
    <row r="745" spans="2:9" x14ac:dyDescent="0.2">
      <c r="B745" s="4"/>
      <c r="C745" s="4"/>
      <c r="D745" s="4"/>
      <c r="E745" s="4"/>
      <c r="F745" s="4"/>
      <c r="G745" s="4"/>
      <c r="H745" s="4"/>
      <c r="I745" s="4"/>
    </row>
    <row r="746" spans="2:9" x14ac:dyDescent="0.2">
      <c r="B746" s="4"/>
      <c r="C746" s="4"/>
      <c r="D746" s="4"/>
      <c r="E746" s="4"/>
      <c r="F746" s="4"/>
      <c r="G746" s="4"/>
      <c r="H746" s="4"/>
      <c r="I746" s="4"/>
    </row>
    <row r="747" spans="2:9" x14ac:dyDescent="0.2">
      <c r="B747" s="4"/>
      <c r="C747" s="4"/>
      <c r="D747" s="4"/>
      <c r="E747" s="4"/>
      <c r="F747" s="4"/>
      <c r="G747" s="4"/>
      <c r="H747" s="4"/>
      <c r="I747" s="4"/>
    </row>
    <row r="748" spans="2:9" x14ac:dyDescent="0.2">
      <c r="B748" s="4"/>
      <c r="C748" s="4"/>
      <c r="D748" s="4"/>
      <c r="E748" s="4"/>
      <c r="F748" s="4"/>
      <c r="G748" s="4"/>
      <c r="H748" s="4"/>
      <c r="I748" s="4"/>
    </row>
    <row r="749" spans="2:9" x14ac:dyDescent="0.2">
      <c r="B749" s="4"/>
      <c r="C749" s="4"/>
      <c r="D749" s="4"/>
      <c r="E749" s="4"/>
      <c r="F749" s="4"/>
      <c r="G749" s="4"/>
      <c r="H749" s="4"/>
      <c r="I749" s="4"/>
    </row>
    <row r="750" spans="2:9" x14ac:dyDescent="0.2">
      <c r="B750" s="4"/>
      <c r="C750" s="4"/>
      <c r="D750" s="4"/>
      <c r="E750" s="4"/>
      <c r="F750" s="4"/>
      <c r="G750" s="4"/>
      <c r="H750" s="4"/>
      <c r="I750" s="4"/>
    </row>
    <row r="751" spans="2:9" x14ac:dyDescent="0.2">
      <c r="B751" s="4"/>
      <c r="C751" s="4"/>
      <c r="D751" s="4"/>
      <c r="E751" s="4"/>
      <c r="F751" s="4"/>
      <c r="G751" s="4"/>
      <c r="H751" s="4"/>
      <c r="I751" s="4"/>
    </row>
    <row r="752" spans="2:9" x14ac:dyDescent="0.2">
      <c r="B752" s="4"/>
      <c r="C752" s="4"/>
      <c r="D752" s="4"/>
      <c r="E752" s="4"/>
      <c r="F752" s="4"/>
      <c r="G752" s="4"/>
      <c r="H752" s="4"/>
      <c r="I752" s="4"/>
    </row>
    <row r="753" spans="2:9" x14ac:dyDescent="0.2">
      <c r="B753" s="4"/>
      <c r="C753" s="4"/>
      <c r="D753" s="4"/>
      <c r="E753" s="4"/>
      <c r="F753" s="4"/>
      <c r="G753" s="4"/>
      <c r="H753" s="4"/>
      <c r="I753" s="4"/>
    </row>
    <row r="754" spans="2:9" x14ac:dyDescent="0.2">
      <c r="B754" s="4"/>
      <c r="C754" s="4"/>
      <c r="D754" s="4"/>
      <c r="E754" s="4"/>
      <c r="F754" s="4"/>
      <c r="G754" s="4"/>
      <c r="H754" s="4"/>
      <c r="I754" s="4"/>
    </row>
    <row r="755" spans="2:9" x14ac:dyDescent="0.2">
      <c r="B755" s="4"/>
      <c r="C755" s="4"/>
      <c r="D755" s="4"/>
      <c r="E755" s="4"/>
      <c r="F755" s="4"/>
      <c r="G755" s="4"/>
      <c r="H755" s="4"/>
      <c r="I755" s="4"/>
    </row>
    <row r="756" spans="2:9" x14ac:dyDescent="0.2">
      <c r="B756" s="4"/>
      <c r="C756" s="4"/>
      <c r="D756" s="4"/>
      <c r="E756" s="4"/>
      <c r="F756" s="4"/>
      <c r="G756" s="4"/>
      <c r="H756" s="4"/>
      <c r="I756" s="4"/>
    </row>
    <row r="757" spans="2:9" x14ac:dyDescent="0.2">
      <c r="B757" s="4"/>
      <c r="C757" s="4"/>
      <c r="D757" s="4"/>
      <c r="E757" s="4"/>
      <c r="F757" s="4"/>
      <c r="G757" s="4"/>
      <c r="H757" s="4"/>
      <c r="I757" s="4"/>
    </row>
    <row r="758" spans="2:9" x14ac:dyDescent="0.2">
      <c r="B758" s="4"/>
      <c r="C758" s="4"/>
      <c r="D758" s="4"/>
      <c r="E758" s="4"/>
      <c r="F758" s="4"/>
      <c r="G758" s="4"/>
      <c r="H758" s="4"/>
      <c r="I758" s="4"/>
    </row>
    <row r="759" spans="2:9" x14ac:dyDescent="0.2">
      <c r="B759" s="4"/>
      <c r="C759" s="4"/>
      <c r="D759" s="4"/>
      <c r="E759" s="4"/>
      <c r="F759" s="4"/>
      <c r="G759" s="4"/>
      <c r="H759" s="4"/>
      <c r="I759" s="4"/>
    </row>
    <row r="760" spans="2:9" x14ac:dyDescent="0.2">
      <c r="B760" s="4"/>
      <c r="C760" s="4"/>
      <c r="D760" s="4"/>
      <c r="E760" s="4"/>
      <c r="F760" s="4"/>
      <c r="G760" s="4"/>
      <c r="H760" s="4"/>
      <c r="I760" s="4"/>
    </row>
    <row r="761" spans="2:9" x14ac:dyDescent="0.2">
      <c r="B761" s="4"/>
      <c r="C761" s="4"/>
      <c r="D761" s="4"/>
      <c r="E761" s="4"/>
      <c r="F761" s="4"/>
      <c r="G761" s="4"/>
      <c r="H761" s="4"/>
      <c r="I761" s="4"/>
    </row>
    <row r="762" spans="2:9" x14ac:dyDescent="0.2">
      <c r="B762" s="4"/>
      <c r="C762" s="4"/>
      <c r="D762" s="4"/>
      <c r="E762" s="4"/>
      <c r="F762" s="4"/>
      <c r="G762" s="4"/>
      <c r="H762" s="4"/>
      <c r="I762" s="4"/>
    </row>
    <row r="763" spans="2:9" x14ac:dyDescent="0.2">
      <c r="B763" s="4"/>
      <c r="C763" s="4"/>
      <c r="D763" s="4"/>
      <c r="E763" s="4"/>
      <c r="F763" s="4"/>
      <c r="G763" s="4"/>
      <c r="H763" s="4"/>
      <c r="I763" s="4"/>
    </row>
    <row r="764" spans="2:9" x14ac:dyDescent="0.2">
      <c r="B764" s="4"/>
      <c r="C764" s="4"/>
      <c r="D764" s="4"/>
      <c r="E764" s="4"/>
      <c r="F764" s="4"/>
      <c r="G764" s="4"/>
      <c r="H764" s="4"/>
      <c r="I764" s="4"/>
    </row>
    <row r="765" spans="2:9" x14ac:dyDescent="0.2">
      <c r="B765" s="4"/>
      <c r="C765" s="4"/>
      <c r="D765" s="4"/>
      <c r="E765" s="4"/>
      <c r="F765" s="4"/>
      <c r="G765" s="4"/>
      <c r="H765" s="4"/>
      <c r="I765" s="4"/>
    </row>
    <row r="766" spans="2:9" x14ac:dyDescent="0.2">
      <c r="B766" s="4"/>
      <c r="C766" s="4"/>
      <c r="D766" s="4"/>
      <c r="E766" s="4"/>
      <c r="F766" s="4"/>
      <c r="G766" s="4"/>
      <c r="H766" s="4"/>
      <c r="I766" s="4"/>
    </row>
    <row r="767" spans="2:9" x14ac:dyDescent="0.2">
      <c r="B767" s="4"/>
      <c r="C767" s="4"/>
      <c r="D767" s="4"/>
      <c r="E767" s="4"/>
      <c r="F767" s="4"/>
      <c r="G767" s="4"/>
      <c r="H767" s="4"/>
      <c r="I767" s="4"/>
    </row>
    <row r="768" spans="2:9" x14ac:dyDescent="0.2">
      <c r="B768" s="4"/>
      <c r="C768" s="4"/>
      <c r="D768" s="4"/>
      <c r="E768" s="4"/>
      <c r="F768" s="4"/>
      <c r="G768" s="4"/>
      <c r="H768" s="4"/>
      <c r="I768" s="4"/>
    </row>
    <row r="769" spans="2:9" x14ac:dyDescent="0.2">
      <c r="B769" s="4"/>
      <c r="C769" s="4"/>
      <c r="D769" s="4"/>
      <c r="E769" s="4"/>
      <c r="F769" s="4"/>
      <c r="G769" s="4"/>
      <c r="H769" s="4"/>
      <c r="I769" s="4"/>
    </row>
    <row r="770" spans="2:9" x14ac:dyDescent="0.2">
      <c r="B770" s="4"/>
      <c r="C770" s="4"/>
      <c r="D770" s="4"/>
      <c r="E770" s="4"/>
      <c r="F770" s="4"/>
      <c r="G770" s="4"/>
      <c r="H770" s="4"/>
      <c r="I770" s="4"/>
    </row>
    <row r="771" spans="2:9" x14ac:dyDescent="0.2">
      <c r="B771" s="4"/>
      <c r="C771" s="4"/>
      <c r="D771" s="4"/>
      <c r="E771" s="4"/>
      <c r="F771" s="4"/>
      <c r="G771" s="4"/>
      <c r="H771" s="4"/>
      <c r="I771" s="4"/>
    </row>
    <row r="772" spans="2:9" x14ac:dyDescent="0.2">
      <c r="B772" s="4"/>
      <c r="C772" s="4"/>
      <c r="D772" s="4"/>
      <c r="E772" s="4"/>
      <c r="F772" s="4"/>
      <c r="G772" s="4"/>
      <c r="H772" s="4"/>
      <c r="I772" s="4"/>
    </row>
    <row r="773" spans="2:9" x14ac:dyDescent="0.2">
      <c r="B773" s="4"/>
      <c r="C773" s="4"/>
      <c r="D773" s="4"/>
      <c r="E773" s="4"/>
      <c r="F773" s="4"/>
      <c r="G773" s="4"/>
      <c r="H773" s="4"/>
      <c r="I773" s="4"/>
    </row>
    <row r="774" spans="2:9" x14ac:dyDescent="0.2">
      <c r="B774" s="4"/>
      <c r="C774" s="4"/>
      <c r="D774" s="4"/>
      <c r="E774" s="4"/>
      <c r="F774" s="4"/>
      <c r="G774" s="4"/>
      <c r="H774" s="4"/>
      <c r="I774" s="4"/>
    </row>
    <row r="775" spans="2:9" x14ac:dyDescent="0.2">
      <c r="B775" s="4"/>
      <c r="C775" s="4"/>
      <c r="D775" s="4"/>
      <c r="E775" s="4"/>
      <c r="F775" s="4"/>
      <c r="G775" s="4"/>
      <c r="H775" s="4"/>
      <c r="I775" s="4"/>
    </row>
    <row r="776" spans="2:9" x14ac:dyDescent="0.2">
      <c r="B776" s="4"/>
      <c r="C776" s="4"/>
      <c r="D776" s="4"/>
      <c r="E776" s="4"/>
      <c r="F776" s="4"/>
      <c r="G776" s="4"/>
      <c r="H776" s="4"/>
      <c r="I776" s="4"/>
    </row>
    <row r="777" spans="2:9" x14ac:dyDescent="0.2">
      <c r="B777" s="4"/>
      <c r="C777" s="4"/>
      <c r="D777" s="4"/>
      <c r="E777" s="4"/>
      <c r="F777" s="4"/>
      <c r="G777" s="4"/>
      <c r="H777" s="4"/>
      <c r="I777" s="4"/>
    </row>
    <row r="778" spans="2:9" x14ac:dyDescent="0.2">
      <c r="B778" s="4"/>
      <c r="C778" s="4"/>
      <c r="D778" s="4"/>
      <c r="E778" s="4"/>
      <c r="F778" s="4"/>
      <c r="G778" s="4"/>
      <c r="H778" s="4"/>
      <c r="I778" s="4"/>
    </row>
    <row r="779" spans="2:9" x14ac:dyDescent="0.2">
      <c r="B779" s="4"/>
      <c r="C779" s="4"/>
      <c r="D779" s="4"/>
      <c r="E779" s="4"/>
      <c r="F779" s="4"/>
      <c r="G779" s="4"/>
      <c r="H779" s="4"/>
      <c r="I779" s="4"/>
    </row>
    <row r="780" spans="2:9" x14ac:dyDescent="0.2">
      <c r="B780" s="4"/>
      <c r="C780" s="4"/>
      <c r="D780" s="4"/>
      <c r="E780" s="4"/>
      <c r="F780" s="4"/>
      <c r="G780" s="4"/>
      <c r="H780" s="4"/>
      <c r="I780" s="4"/>
    </row>
    <row r="781" spans="2:9" x14ac:dyDescent="0.2">
      <c r="B781" s="4"/>
      <c r="C781" s="4"/>
      <c r="D781" s="4"/>
      <c r="E781" s="4"/>
      <c r="F781" s="4"/>
      <c r="G781" s="4"/>
      <c r="H781" s="4"/>
      <c r="I781" s="4"/>
    </row>
    <row r="782" spans="2:9" x14ac:dyDescent="0.2">
      <c r="B782" s="4"/>
      <c r="C782" s="4"/>
      <c r="D782" s="4"/>
      <c r="E782" s="4"/>
      <c r="F782" s="4"/>
      <c r="G782" s="4"/>
      <c r="H782" s="4"/>
      <c r="I782" s="4"/>
    </row>
    <row r="783" spans="2:9" x14ac:dyDescent="0.2">
      <c r="B783" s="4"/>
      <c r="C783" s="4"/>
      <c r="D783" s="4"/>
      <c r="E783" s="4"/>
      <c r="F783" s="4"/>
      <c r="G783" s="4"/>
      <c r="H783" s="4"/>
      <c r="I783" s="4"/>
    </row>
    <row r="784" spans="2:9" x14ac:dyDescent="0.2">
      <c r="B784" s="4"/>
      <c r="C784" s="4"/>
      <c r="D784" s="4"/>
      <c r="E784" s="4"/>
      <c r="F784" s="4"/>
      <c r="G784" s="4"/>
      <c r="H784" s="4"/>
      <c r="I784" s="4"/>
    </row>
    <row r="785" spans="2:9" x14ac:dyDescent="0.2">
      <c r="B785" s="4"/>
      <c r="C785" s="4"/>
      <c r="D785" s="4"/>
      <c r="E785" s="4"/>
      <c r="F785" s="4"/>
      <c r="G785" s="4"/>
      <c r="H785" s="4"/>
      <c r="I785" s="4"/>
    </row>
    <row r="786" spans="2:9" x14ac:dyDescent="0.2">
      <c r="B786" s="4"/>
      <c r="C786" s="4"/>
      <c r="D786" s="4"/>
      <c r="E786" s="4"/>
      <c r="F786" s="4"/>
      <c r="G786" s="4"/>
      <c r="H786" s="4"/>
      <c r="I786" s="4"/>
    </row>
    <row r="787" spans="2:9" x14ac:dyDescent="0.2">
      <c r="B787" s="4"/>
      <c r="C787" s="4"/>
      <c r="D787" s="4"/>
      <c r="E787" s="4"/>
      <c r="F787" s="4"/>
      <c r="G787" s="4"/>
      <c r="H787" s="4"/>
      <c r="I787" s="4"/>
    </row>
    <row r="788" spans="2:9" x14ac:dyDescent="0.2">
      <c r="B788" s="4"/>
      <c r="C788" s="4"/>
      <c r="D788" s="4"/>
      <c r="E788" s="4"/>
      <c r="F788" s="4"/>
      <c r="G788" s="4"/>
      <c r="H788" s="4"/>
      <c r="I788" s="4"/>
    </row>
    <row r="789" spans="2:9" x14ac:dyDescent="0.2">
      <c r="B789" s="4"/>
      <c r="C789" s="4"/>
      <c r="D789" s="4"/>
      <c r="E789" s="4"/>
      <c r="F789" s="4"/>
      <c r="G789" s="4"/>
      <c r="H789" s="4"/>
      <c r="I789" s="4"/>
    </row>
    <row r="790" spans="2:9" x14ac:dyDescent="0.2">
      <c r="B790" s="4"/>
      <c r="C790" s="4"/>
      <c r="D790" s="4"/>
      <c r="E790" s="4"/>
      <c r="F790" s="4"/>
      <c r="G790" s="4"/>
      <c r="H790" s="4"/>
      <c r="I790" s="4"/>
    </row>
    <row r="791" spans="2:9" x14ac:dyDescent="0.2">
      <c r="B791" s="4"/>
      <c r="C791" s="4"/>
      <c r="D791" s="4"/>
      <c r="E791" s="4"/>
      <c r="F791" s="4"/>
      <c r="G791" s="4"/>
      <c r="H791" s="4"/>
      <c r="I791" s="4"/>
    </row>
    <row r="792" spans="2:9" x14ac:dyDescent="0.2">
      <c r="B792" s="4"/>
      <c r="C792" s="4"/>
      <c r="D792" s="4"/>
      <c r="E792" s="4"/>
      <c r="F792" s="4"/>
      <c r="G792" s="4"/>
      <c r="H792" s="4"/>
      <c r="I792" s="4"/>
    </row>
    <row r="793" spans="2:9" x14ac:dyDescent="0.2">
      <c r="B793" s="4"/>
      <c r="C793" s="4"/>
      <c r="D793" s="4"/>
      <c r="E793" s="4"/>
      <c r="F793" s="4"/>
      <c r="G793" s="4"/>
      <c r="H793" s="4"/>
      <c r="I793" s="4"/>
    </row>
    <row r="794" spans="2:9" x14ac:dyDescent="0.2">
      <c r="B794" s="4"/>
      <c r="C794" s="4"/>
      <c r="D794" s="4"/>
      <c r="E794" s="4"/>
      <c r="F794" s="4"/>
      <c r="G794" s="4"/>
      <c r="H794" s="4"/>
      <c r="I794" s="4"/>
    </row>
    <row r="795" spans="2:9" x14ac:dyDescent="0.2">
      <c r="B795" s="4"/>
      <c r="C795" s="4"/>
      <c r="D795" s="4"/>
      <c r="E795" s="4"/>
      <c r="F795" s="4"/>
      <c r="G795" s="4"/>
      <c r="H795" s="4"/>
      <c r="I795" s="4"/>
    </row>
    <row r="796" spans="2:9" x14ac:dyDescent="0.2">
      <c r="B796" s="4"/>
      <c r="C796" s="4"/>
      <c r="D796" s="4"/>
      <c r="E796" s="4"/>
      <c r="F796" s="4"/>
      <c r="G796" s="4"/>
      <c r="H796" s="4"/>
      <c r="I796" s="4"/>
    </row>
    <row r="797" spans="2:9" x14ac:dyDescent="0.2">
      <c r="B797" s="4"/>
      <c r="C797" s="4"/>
      <c r="D797" s="4"/>
      <c r="E797" s="4"/>
      <c r="F797" s="4"/>
      <c r="G797" s="4"/>
      <c r="H797" s="4"/>
      <c r="I797" s="4"/>
    </row>
    <row r="798" spans="2:9" x14ac:dyDescent="0.2">
      <c r="B798" s="4"/>
      <c r="C798" s="4"/>
      <c r="D798" s="4"/>
      <c r="E798" s="4"/>
      <c r="F798" s="4"/>
      <c r="G798" s="4"/>
      <c r="H798" s="4"/>
      <c r="I798" s="4"/>
    </row>
    <row r="799" spans="2:9" x14ac:dyDescent="0.2">
      <c r="B799" s="4"/>
      <c r="C799" s="4"/>
      <c r="D799" s="4"/>
      <c r="E799" s="4"/>
      <c r="F799" s="4"/>
      <c r="G799" s="4"/>
      <c r="H799" s="4"/>
      <c r="I799" s="4"/>
    </row>
    <row r="800" spans="2:9" x14ac:dyDescent="0.2">
      <c r="B800" s="4"/>
      <c r="C800" s="4"/>
      <c r="D800" s="4"/>
      <c r="E800" s="4"/>
      <c r="F800" s="4"/>
      <c r="G800" s="4"/>
      <c r="H800" s="4"/>
      <c r="I800" s="4"/>
    </row>
    <row r="801" spans="2:9" x14ac:dyDescent="0.2">
      <c r="B801" s="4"/>
      <c r="C801" s="4"/>
      <c r="D801" s="4"/>
      <c r="E801" s="4"/>
      <c r="F801" s="4"/>
      <c r="G801" s="4"/>
      <c r="H801" s="4"/>
      <c r="I801" s="4"/>
    </row>
    <row r="802" spans="2:9" x14ac:dyDescent="0.2">
      <c r="B802" s="4"/>
      <c r="C802" s="4"/>
      <c r="D802" s="4"/>
      <c r="E802" s="4"/>
      <c r="F802" s="4"/>
      <c r="G802" s="4"/>
      <c r="H802" s="4"/>
      <c r="I802" s="4"/>
    </row>
    <row r="803" spans="2:9" x14ac:dyDescent="0.2">
      <c r="B803" s="4"/>
      <c r="C803" s="4"/>
      <c r="D803" s="4"/>
      <c r="E803" s="4"/>
      <c r="F803" s="4"/>
      <c r="G803" s="4"/>
      <c r="H803" s="4"/>
      <c r="I803" s="4"/>
    </row>
    <row r="804" spans="2:9" x14ac:dyDescent="0.2">
      <c r="B804" s="4"/>
      <c r="C804" s="4"/>
      <c r="D804" s="4"/>
      <c r="E804" s="4"/>
      <c r="F804" s="4"/>
      <c r="G804" s="4"/>
      <c r="H804" s="4"/>
      <c r="I804" s="4"/>
    </row>
    <row r="805" spans="2:9" x14ac:dyDescent="0.2">
      <c r="B805" s="4"/>
      <c r="C805" s="4"/>
      <c r="D805" s="4"/>
      <c r="E805" s="4"/>
      <c r="F805" s="4"/>
      <c r="G805" s="4"/>
      <c r="H805" s="4"/>
      <c r="I805" s="4"/>
    </row>
    <row r="806" spans="2:9" x14ac:dyDescent="0.2">
      <c r="B806" s="4"/>
      <c r="C806" s="4"/>
      <c r="D806" s="4"/>
      <c r="E806" s="4"/>
      <c r="F806" s="4"/>
      <c r="G806" s="4"/>
      <c r="H806" s="4"/>
      <c r="I806" s="4"/>
    </row>
    <row r="807" spans="2:9" x14ac:dyDescent="0.2">
      <c r="B807" s="4"/>
      <c r="C807" s="4"/>
      <c r="D807" s="4"/>
      <c r="E807" s="4"/>
      <c r="F807" s="4"/>
      <c r="G807" s="4"/>
      <c r="H807" s="4"/>
      <c r="I807" s="4"/>
    </row>
    <row r="808" spans="2:9" x14ac:dyDescent="0.2">
      <c r="B808" s="4"/>
      <c r="C808" s="4"/>
      <c r="D808" s="4"/>
      <c r="E808" s="4"/>
      <c r="F808" s="4"/>
      <c r="G808" s="4"/>
      <c r="H808" s="4"/>
      <c r="I808" s="4"/>
    </row>
    <row r="809" spans="2:9" x14ac:dyDescent="0.2">
      <c r="B809" s="4"/>
      <c r="C809" s="4"/>
      <c r="D809" s="4"/>
      <c r="E809" s="4"/>
      <c r="F809" s="4"/>
      <c r="G809" s="4"/>
      <c r="H809" s="4"/>
      <c r="I809" s="4"/>
    </row>
    <row r="810" spans="2:9" x14ac:dyDescent="0.2">
      <c r="B810" s="4"/>
      <c r="C810" s="4"/>
      <c r="D810" s="4"/>
      <c r="E810" s="4"/>
      <c r="F810" s="4"/>
      <c r="G810" s="4"/>
      <c r="H810" s="4"/>
      <c r="I810" s="4"/>
    </row>
    <row r="811" spans="2:9" x14ac:dyDescent="0.2">
      <c r="B811" s="4"/>
      <c r="C811" s="4"/>
      <c r="D811" s="4"/>
      <c r="E811" s="4"/>
      <c r="F811" s="4"/>
      <c r="G811" s="4"/>
      <c r="H811" s="4"/>
      <c r="I811" s="4"/>
    </row>
    <row r="812" spans="2:9" x14ac:dyDescent="0.2">
      <c r="B812" s="4"/>
      <c r="C812" s="4"/>
      <c r="D812" s="4"/>
      <c r="E812" s="4"/>
      <c r="F812" s="4"/>
      <c r="G812" s="4"/>
      <c r="H812" s="4"/>
      <c r="I812" s="4"/>
    </row>
    <row r="813" spans="2:9" x14ac:dyDescent="0.2">
      <c r="B813" s="4"/>
      <c r="C813" s="4"/>
      <c r="D813" s="4"/>
      <c r="E813" s="4"/>
      <c r="F813" s="4"/>
      <c r="G813" s="4"/>
      <c r="H813" s="4"/>
      <c r="I813" s="4"/>
    </row>
    <row r="814" spans="2:9" x14ac:dyDescent="0.2">
      <c r="B814" s="4"/>
      <c r="C814" s="4"/>
      <c r="D814" s="4"/>
      <c r="E814" s="4"/>
      <c r="F814" s="4"/>
      <c r="G814" s="4"/>
      <c r="H814" s="4"/>
      <c r="I814" s="4"/>
    </row>
    <row r="815" spans="2:9" x14ac:dyDescent="0.2">
      <c r="B815" s="4"/>
      <c r="C815" s="4"/>
      <c r="D815" s="4"/>
      <c r="E815" s="4"/>
      <c r="F815" s="4"/>
      <c r="G815" s="4"/>
      <c r="H815" s="4"/>
      <c r="I815" s="4"/>
    </row>
    <row r="816" spans="2:9" x14ac:dyDescent="0.2">
      <c r="B816" s="4"/>
      <c r="C816" s="4"/>
      <c r="D816" s="4"/>
      <c r="E816" s="4"/>
      <c r="F816" s="4"/>
      <c r="G816" s="4"/>
      <c r="H816" s="4"/>
      <c r="I816" s="4"/>
    </row>
    <row r="817" spans="2:9" x14ac:dyDescent="0.2">
      <c r="B817" s="4"/>
      <c r="C817" s="4"/>
      <c r="D817" s="4"/>
      <c r="E817" s="4"/>
      <c r="F817" s="4"/>
      <c r="G817" s="4"/>
      <c r="H817" s="4"/>
      <c r="I817" s="4"/>
    </row>
    <row r="818" spans="2:9" x14ac:dyDescent="0.2">
      <c r="B818" s="4"/>
      <c r="C818" s="4"/>
      <c r="D818" s="4"/>
      <c r="E818" s="4"/>
      <c r="F818" s="4"/>
      <c r="G818" s="4"/>
      <c r="H818" s="4"/>
      <c r="I818" s="4"/>
    </row>
    <row r="819" spans="2:9" x14ac:dyDescent="0.2">
      <c r="B819" s="4"/>
      <c r="C819" s="4"/>
      <c r="D819" s="4"/>
      <c r="E819" s="4"/>
      <c r="F819" s="4"/>
      <c r="G819" s="4"/>
      <c r="H819" s="4"/>
      <c r="I819" s="4"/>
    </row>
    <row r="820" spans="2:9" x14ac:dyDescent="0.2">
      <c r="B820" s="4"/>
      <c r="C820" s="4"/>
      <c r="D820" s="4"/>
      <c r="E820" s="4"/>
      <c r="F820" s="4"/>
      <c r="G820" s="4"/>
      <c r="H820" s="4"/>
      <c r="I820" s="4"/>
    </row>
    <row r="821" spans="2:9" x14ac:dyDescent="0.2">
      <c r="B821" s="4"/>
      <c r="C821" s="4"/>
      <c r="D821" s="4"/>
      <c r="E821" s="4"/>
      <c r="F821" s="4"/>
      <c r="G821" s="4"/>
      <c r="H821" s="4"/>
      <c r="I821" s="4"/>
    </row>
    <row r="822" spans="2:9" x14ac:dyDescent="0.2">
      <c r="B822" s="4"/>
      <c r="C822" s="4"/>
      <c r="D822" s="4"/>
      <c r="E822" s="4"/>
      <c r="F822" s="4"/>
      <c r="G822" s="4"/>
      <c r="H822" s="4"/>
      <c r="I822" s="4"/>
    </row>
    <row r="823" spans="2:9" x14ac:dyDescent="0.2">
      <c r="B823" s="4"/>
      <c r="C823" s="4"/>
      <c r="D823" s="4"/>
      <c r="E823" s="4"/>
      <c r="F823" s="4"/>
      <c r="G823" s="4"/>
      <c r="H823" s="4"/>
      <c r="I823" s="4"/>
    </row>
    <row r="824" spans="2:9" x14ac:dyDescent="0.2">
      <c r="B824" s="4"/>
      <c r="C824" s="4"/>
      <c r="D824" s="4"/>
      <c r="E824" s="4"/>
      <c r="F824" s="4"/>
      <c r="G824" s="4"/>
      <c r="H824" s="4"/>
      <c r="I824" s="4"/>
    </row>
    <row r="825" spans="2:9" x14ac:dyDescent="0.2">
      <c r="B825" s="4"/>
      <c r="C825" s="4"/>
      <c r="D825" s="4"/>
      <c r="E825" s="4"/>
      <c r="F825" s="4"/>
      <c r="G825" s="4"/>
      <c r="H825" s="4"/>
      <c r="I825" s="4"/>
    </row>
    <row r="826" spans="2:9" x14ac:dyDescent="0.2">
      <c r="B826" s="4"/>
      <c r="C826" s="4"/>
      <c r="D826" s="4"/>
      <c r="E826" s="4"/>
      <c r="F826" s="4"/>
      <c r="G826" s="4"/>
      <c r="H826" s="4"/>
      <c r="I826" s="4"/>
    </row>
    <row r="827" spans="2:9" x14ac:dyDescent="0.2">
      <c r="B827" s="4"/>
      <c r="C827" s="4"/>
      <c r="D827" s="4"/>
      <c r="E827" s="4"/>
      <c r="F827" s="4"/>
      <c r="G827" s="4"/>
      <c r="H827" s="4"/>
      <c r="I827" s="4"/>
    </row>
    <row r="828" spans="2:9" x14ac:dyDescent="0.2">
      <c r="B828" s="4"/>
      <c r="C828" s="4"/>
      <c r="D828" s="4"/>
      <c r="E828" s="4"/>
      <c r="F828" s="4"/>
      <c r="G828" s="4"/>
      <c r="H828" s="4"/>
      <c r="I828" s="4"/>
    </row>
    <row r="829" spans="2:9" x14ac:dyDescent="0.2">
      <c r="B829" s="4"/>
      <c r="C829" s="4"/>
      <c r="D829" s="4"/>
      <c r="E829" s="4"/>
      <c r="F829" s="4"/>
      <c r="G829" s="4"/>
      <c r="H829" s="4"/>
      <c r="I829" s="4"/>
    </row>
    <row r="830" spans="2:9" x14ac:dyDescent="0.2">
      <c r="B830" s="4"/>
      <c r="C830" s="4"/>
      <c r="D830" s="4"/>
      <c r="E830" s="4"/>
      <c r="F830" s="4"/>
      <c r="G830" s="4"/>
      <c r="H830" s="4"/>
      <c r="I830" s="4"/>
    </row>
    <row r="831" spans="2:9" x14ac:dyDescent="0.2">
      <c r="B831" s="4"/>
      <c r="C831" s="4"/>
      <c r="D831" s="4"/>
      <c r="E831" s="4"/>
      <c r="F831" s="4"/>
      <c r="G831" s="4"/>
      <c r="H831" s="4"/>
      <c r="I831" s="4"/>
    </row>
    <row r="832" spans="2:9" x14ac:dyDescent="0.2">
      <c r="B832" s="4"/>
      <c r="C832" s="4"/>
      <c r="D832" s="4"/>
      <c r="E832" s="4"/>
      <c r="F832" s="4"/>
      <c r="G832" s="4"/>
      <c r="H832" s="4"/>
      <c r="I832" s="4"/>
    </row>
    <row r="833" spans="2:9" x14ac:dyDescent="0.2">
      <c r="B833" s="4"/>
      <c r="C833" s="4"/>
      <c r="D833" s="4"/>
      <c r="E833" s="4"/>
      <c r="F833" s="4"/>
      <c r="G833" s="4"/>
      <c r="H833" s="4"/>
      <c r="I833" s="4"/>
    </row>
    <row r="834" spans="2:9" x14ac:dyDescent="0.2">
      <c r="B834" s="4"/>
      <c r="C834" s="4"/>
      <c r="D834" s="4"/>
      <c r="E834" s="4"/>
      <c r="F834" s="4"/>
      <c r="G834" s="4"/>
      <c r="H834" s="4"/>
      <c r="I834" s="4"/>
    </row>
    <row r="835" spans="2:9" x14ac:dyDescent="0.2">
      <c r="B835" s="4"/>
      <c r="C835" s="4"/>
      <c r="D835" s="4"/>
      <c r="E835" s="4"/>
      <c r="F835" s="4"/>
      <c r="G835" s="4"/>
      <c r="H835" s="4"/>
      <c r="I835" s="4"/>
    </row>
    <row r="836" spans="2:9" x14ac:dyDescent="0.2">
      <c r="B836" s="4"/>
      <c r="C836" s="4"/>
      <c r="D836" s="4"/>
      <c r="E836" s="4"/>
      <c r="F836" s="4"/>
      <c r="G836" s="4"/>
      <c r="H836" s="4"/>
      <c r="I836" s="4"/>
    </row>
    <row r="837" spans="2:9" x14ac:dyDescent="0.2">
      <c r="B837" s="4"/>
      <c r="C837" s="4"/>
      <c r="D837" s="4"/>
      <c r="E837" s="4"/>
      <c r="F837" s="4"/>
      <c r="G837" s="4"/>
      <c r="H837" s="4"/>
      <c r="I837" s="4"/>
    </row>
    <row r="838" spans="2:9" x14ac:dyDescent="0.2">
      <c r="B838" s="4"/>
      <c r="C838" s="4"/>
      <c r="D838" s="4"/>
      <c r="E838" s="4"/>
      <c r="F838" s="4"/>
      <c r="G838" s="4"/>
      <c r="H838" s="4"/>
      <c r="I838" s="4"/>
    </row>
    <row r="839" spans="2:9" x14ac:dyDescent="0.2">
      <c r="B839" s="4"/>
      <c r="C839" s="4"/>
      <c r="D839" s="4"/>
      <c r="E839" s="4"/>
      <c r="F839" s="4"/>
      <c r="G839" s="4"/>
      <c r="H839" s="4"/>
      <c r="I839" s="4"/>
    </row>
    <row r="840" spans="2:9" x14ac:dyDescent="0.2">
      <c r="B840" s="4"/>
      <c r="C840" s="4"/>
      <c r="D840" s="4"/>
      <c r="E840" s="4"/>
      <c r="F840" s="4"/>
      <c r="G840" s="4"/>
      <c r="H840" s="4"/>
      <c r="I840" s="4"/>
    </row>
    <row r="841" spans="2:9" x14ac:dyDescent="0.2">
      <c r="B841" s="4"/>
      <c r="C841" s="4"/>
      <c r="D841" s="4"/>
      <c r="E841" s="4"/>
      <c r="F841" s="4"/>
      <c r="G841" s="4"/>
      <c r="H841" s="4"/>
      <c r="I841" s="4"/>
    </row>
    <row r="842" spans="2:9" x14ac:dyDescent="0.2">
      <c r="B842" s="4"/>
      <c r="C842" s="4"/>
      <c r="D842" s="4"/>
      <c r="E842" s="4"/>
      <c r="F842" s="4"/>
      <c r="G842" s="4"/>
      <c r="H842" s="4"/>
      <c r="I842" s="4"/>
    </row>
    <row r="843" spans="2:9" x14ac:dyDescent="0.2">
      <c r="B843" s="4"/>
      <c r="C843" s="4"/>
      <c r="D843" s="4"/>
      <c r="E843" s="4"/>
      <c r="F843" s="4"/>
      <c r="G843" s="4"/>
      <c r="H843" s="4"/>
      <c r="I843" s="4"/>
    </row>
    <row r="844" spans="2:9" x14ac:dyDescent="0.2">
      <c r="B844" s="4"/>
      <c r="C844" s="4"/>
      <c r="D844" s="4"/>
      <c r="E844" s="4"/>
      <c r="F844" s="4"/>
      <c r="G844" s="4"/>
      <c r="H844" s="4"/>
      <c r="I844" s="4"/>
    </row>
    <row r="845" spans="2:9" x14ac:dyDescent="0.2">
      <c r="B845" s="4"/>
      <c r="C845" s="4"/>
      <c r="D845" s="4"/>
      <c r="E845" s="4"/>
      <c r="F845" s="4"/>
      <c r="G845" s="4"/>
      <c r="H845" s="4"/>
      <c r="I845" s="4"/>
    </row>
    <row r="846" spans="2:9" x14ac:dyDescent="0.2">
      <c r="B846" s="4"/>
      <c r="C846" s="4"/>
      <c r="D846" s="4"/>
      <c r="E846" s="4"/>
      <c r="F846" s="4"/>
      <c r="G846" s="4"/>
      <c r="H846" s="4"/>
      <c r="I846" s="4"/>
    </row>
    <row r="847" spans="2:9" x14ac:dyDescent="0.2">
      <c r="B847" s="4"/>
      <c r="C847" s="4"/>
      <c r="D847" s="4"/>
      <c r="E847" s="4"/>
      <c r="F847" s="4"/>
      <c r="G847" s="4"/>
      <c r="H847" s="4"/>
      <c r="I847" s="4"/>
    </row>
    <row r="848" spans="2:9" x14ac:dyDescent="0.2">
      <c r="B848" s="4"/>
      <c r="C848" s="4"/>
      <c r="D848" s="4"/>
      <c r="E848" s="4"/>
      <c r="F848" s="4"/>
      <c r="G848" s="4"/>
      <c r="H848" s="4"/>
      <c r="I848" s="4"/>
    </row>
    <row r="849" spans="2:9" x14ac:dyDescent="0.2">
      <c r="B849" s="4"/>
      <c r="C849" s="4"/>
      <c r="D849" s="4"/>
      <c r="E849" s="4"/>
      <c r="F849" s="4"/>
      <c r="G849" s="4"/>
      <c r="H849" s="4"/>
      <c r="I849" s="4"/>
    </row>
    <row r="850" spans="2:9" x14ac:dyDescent="0.2">
      <c r="B850" s="4"/>
      <c r="C850" s="4"/>
      <c r="D850" s="4"/>
      <c r="E850" s="4"/>
      <c r="F850" s="4"/>
      <c r="G850" s="4"/>
      <c r="H850" s="4"/>
      <c r="I850" s="4"/>
    </row>
    <row r="851" spans="2:9" x14ac:dyDescent="0.2">
      <c r="B851" s="4"/>
      <c r="C851" s="4"/>
      <c r="D851" s="4"/>
      <c r="E851" s="4"/>
      <c r="F851" s="4"/>
      <c r="G851" s="4"/>
      <c r="H851" s="4"/>
      <c r="I851" s="4"/>
    </row>
    <row r="852" spans="2:9" x14ac:dyDescent="0.2">
      <c r="B852" s="4"/>
      <c r="C852" s="4"/>
      <c r="D852" s="4"/>
      <c r="E852" s="4"/>
      <c r="F852" s="4"/>
      <c r="G852" s="4"/>
      <c r="H852" s="4"/>
      <c r="I852" s="4"/>
    </row>
    <row r="853" spans="2:9" x14ac:dyDescent="0.2">
      <c r="B853" s="4"/>
      <c r="C853" s="4"/>
      <c r="D853" s="4"/>
      <c r="E853" s="4"/>
      <c r="F853" s="4"/>
      <c r="G853" s="4"/>
      <c r="H853" s="4"/>
      <c r="I853" s="4"/>
    </row>
    <row r="854" spans="2:9" x14ac:dyDescent="0.2">
      <c r="B854" s="4"/>
      <c r="C854" s="4"/>
      <c r="D854" s="4"/>
      <c r="E854" s="4"/>
      <c r="F854" s="4"/>
      <c r="G854" s="4"/>
      <c r="H854" s="4"/>
      <c r="I854" s="4"/>
    </row>
    <row r="855" spans="2:9" x14ac:dyDescent="0.2">
      <c r="B855" s="4"/>
      <c r="C855" s="4"/>
      <c r="D855" s="4"/>
      <c r="E855" s="4"/>
      <c r="F855" s="4"/>
      <c r="G855" s="4"/>
      <c r="H855" s="4"/>
      <c r="I855" s="4"/>
    </row>
    <row r="856" spans="2:9" x14ac:dyDescent="0.2">
      <c r="B856" s="4"/>
      <c r="C856" s="4"/>
      <c r="D856" s="4"/>
      <c r="E856" s="4"/>
      <c r="F856" s="4"/>
      <c r="G856" s="4"/>
      <c r="H856" s="4"/>
      <c r="I856" s="4"/>
    </row>
    <row r="857" spans="2:9" x14ac:dyDescent="0.2">
      <c r="B857" s="4"/>
      <c r="C857" s="4"/>
      <c r="D857" s="4"/>
      <c r="E857" s="4"/>
      <c r="F857" s="4"/>
      <c r="G857" s="4"/>
      <c r="H857" s="4"/>
      <c r="I857" s="4"/>
    </row>
    <row r="858" spans="2:9" x14ac:dyDescent="0.2">
      <c r="B858" s="4"/>
      <c r="C858" s="4"/>
      <c r="D858" s="4"/>
      <c r="E858" s="4"/>
      <c r="F858" s="4"/>
      <c r="G858" s="4"/>
      <c r="H858" s="4"/>
      <c r="I858" s="4"/>
    </row>
    <row r="859" spans="2:9" x14ac:dyDescent="0.2">
      <c r="B859" s="4"/>
      <c r="C859" s="4"/>
      <c r="D859" s="4"/>
      <c r="E859" s="4"/>
      <c r="F859" s="4"/>
      <c r="G859" s="4"/>
      <c r="H859" s="4"/>
      <c r="I859" s="4"/>
    </row>
    <row r="860" spans="2:9" x14ac:dyDescent="0.2">
      <c r="B860" s="4"/>
      <c r="C860" s="4"/>
      <c r="D860" s="4"/>
      <c r="E860" s="4"/>
      <c r="F860" s="4"/>
      <c r="G860" s="4"/>
      <c r="H860" s="4"/>
      <c r="I860" s="4"/>
    </row>
    <row r="861" spans="2:9" x14ac:dyDescent="0.2">
      <c r="B861" s="4"/>
      <c r="C861" s="4"/>
      <c r="D861" s="4"/>
      <c r="E861" s="4"/>
      <c r="F861" s="4"/>
      <c r="G861" s="4"/>
      <c r="H861" s="4"/>
      <c r="I861" s="4"/>
    </row>
    <row r="862" spans="2:9" x14ac:dyDescent="0.2">
      <c r="B862" s="4"/>
      <c r="C862" s="4"/>
      <c r="D862" s="4"/>
      <c r="E862" s="4"/>
      <c r="F862" s="4"/>
      <c r="G862" s="4"/>
      <c r="H862" s="4"/>
      <c r="I862" s="4"/>
    </row>
    <row r="863" spans="2:9" x14ac:dyDescent="0.2">
      <c r="B863" s="4"/>
      <c r="C863" s="4"/>
      <c r="D863" s="4"/>
      <c r="E863" s="4"/>
      <c r="F863" s="4"/>
      <c r="G863" s="4"/>
      <c r="H863" s="4"/>
      <c r="I863" s="4"/>
    </row>
    <row r="864" spans="2:9" x14ac:dyDescent="0.2">
      <c r="B864" s="4"/>
      <c r="C864" s="4"/>
      <c r="D864" s="4"/>
      <c r="E864" s="4"/>
      <c r="F864" s="4"/>
      <c r="G864" s="4"/>
      <c r="H864" s="4"/>
      <c r="I864" s="4"/>
    </row>
    <row r="865" spans="2:9" x14ac:dyDescent="0.2">
      <c r="B865" s="4"/>
      <c r="C865" s="4"/>
      <c r="D865" s="4"/>
      <c r="E865" s="4"/>
      <c r="F865" s="4"/>
      <c r="G865" s="4"/>
      <c r="H865" s="4"/>
      <c r="I865" s="4"/>
    </row>
    <row r="866" spans="2:9" x14ac:dyDescent="0.2">
      <c r="B866" s="4"/>
      <c r="C866" s="4"/>
      <c r="D866" s="4"/>
      <c r="E866" s="4"/>
      <c r="F866" s="4"/>
      <c r="G866" s="4"/>
      <c r="H866" s="4"/>
      <c r="I866" s="4"/>
    </row>
    <row r="867" spans="2:9" x14ac:dyDescent="0.2">
      <c r="B867" s="4"/>
      <c r="C867" s="4"/>
      <c r="D867" s="4"/>
      <c r="E867" s="4"/>
      <c r="F867" s="4"/>
      <c r="G867" s="4"/>
      <c r="H867" s="4"/>
      <c r="I867" s="4"/>
    </row>
    <row r="868" spans="2:9" x14ac:dyDescent="0.2">
      <c r="B868" s="4"/>
      <c r="C868" s="4"/>
      <c r="D868" s="4"/>
      <c r="E868" s="4"/>
      <c r="F868" s="4"/>
      <c r="G868" s="4"/>
      <c r="H868" s="4"/>
      <c r="I868" s="4"/>
    </row>
    <row r="869" spans="2:9" x14ac:dyDescent="0.2">
      <c r="B869" s="4"/>
      <c r="C869" s="4"/>
      <c r="D869" s="4"/>
      <c r="E869" s="4"/>
      <c r="F869" s="4"/>
      <c r="G869" s="4"/>
      <c r="H869" s="4"/>
      <c r="I869" s="4"/>
    </row>
    <row r="870" spans="2:9" x14ac:dyDescent="0.2">
      <c r="B870" s="4"/>
      <c r="C870" s="4"/>
      <c r="D870" s="4"/>
      <c r="E870" s="4"/>
      <c r="F870" s="4"/>
      <c r="G870" s="4"/>
      <c r="H870" s="4"/>
      <c r="I870" s="4"/>
    </row>
    <row r="871" spans="2:9" x14ac:dyDescent="0.2">
      <c r="B871" s="4"/>
      <c r="C871" s="4"/>
      <c r="D871" s="4"/>
      <c r="E871" s="4"/>
      <c r="F871" s="4"/>
      <c r="G871" s="4"/>
      <c r="H871" s="4"/>
      <c r="I871" s="4"/>
    </row>
    <row r="872" spans="2:9" x14ac:dyDescent="0.2">
      <c r="B872" s="4"/>
      <c r="C872" s="4"/>
      <c r="D872" s="4"/>
      <c r="E872" s="4"/>
      <c r="F872" s="4"/>
      <c r="G872" s="4"/>
      <c r="H872" s="4"/>
      <c r="I872" s="4"/>
    </row>
    <row r="873" spans="2:9" x14ac:dyDescent="0.2">
      <c r="B873" s="4"/>
      <c r="C873" s="4"/>
      <c r="D873" s="4"/>
      <c r="E873" s="4"/>
      <c r="F873" s="4"/>
      <c r="G873" s="4"/>
      <c r="H873" s="4"/>
      <c r="I873" s="4"/>
    </row>
    <row r="874" spans="2:9" x14ac:dyDescent="0.2">
      <c r="B874" s="4"/>
      <c r="C874" s="4"/>
      <c r="D874" s="4"/>
      <c r="E874" s="4"/>
      <c r="F874" s="4"/>
      <c r="G874" s="4"/>
      <c r="H874" s="4"/>
      <c r="I874" s="4"/>
    </row>
    <row r="875" spans="2:9" x14ac:dyDescent="0.2">
      <c r="B875" s="4"/>
      <c r="C875" s="4"/>
      <c r="D875" s="4"/>
      <c r="E875" s="4"/>
      <c r="F875" s="4"/>
      <c r="G875" s="4"/>
      <c r="H875" s="4"/>
      <c r="I875" s="4"/>
    </row>
    <row r="876" spans="2:9" x14ac:dyDescent="0.2">
      <c r="B876" s="4"/>
      <c r="C876" s="4"/>
      <c r="D876" s="4"/>
      <c r="E876" s="4"/>
      <c r="F876" s="4"/>
      <c r="G876" s="4"/>
      <c r="H876" s="4"/>
      <c r="I876" s="4"/>
    </row>
    <row r="877" spans="2:9" x14ac:dyDescent="0.2">
      <c r="B877" s="4"/>
      <c r="C877" s="4"/>
      <c r="D877" s="4"/>
      <c r="E877" s="4"/>
      <c r="F877" s="4"/>
      <c r="G877" s="4"/>
      <c r="H877" s="4"/>
      <c r="I877" s="4"/>
    </row>
    <row r="878" spans="2:9" x14ac:dyDescent="0.2">
      <c r="B878" s="4"/>
      <c r="C878" s="4"/>
      <c r="D878" s="4"/>
      <c r="E878" s="4"/>
      <c r="F878" s="4"/>
      <c r="G878" s="4"/>
      <c r="H878" s="4"/>
      <c r="I878" s="4"/>
    </row>
    <row r="879" spans="2:9" x14ac:dyDescent="0.2">
      <c r="B879" s="4"/>
      <c r="C879" s="4"/>
      <c r="D879" s="4"/>
      <c r="E879" s="4"/>
      <c r="F879" s="4"/>
      <c r="G879" s="4"/>
      <c r="H879" s="4"/>
      <c r="I879" s="4"/>
    </row>
    <row r="880" spans="2:9" x14ac:dyDescent="0.2">
      <c r="B880" s="4"/>
      <c r="C880" s="4"/>
      <c r="D880" s="4"/>
      <c r="E880" s="4"/>
      <c r="F880" s="4"/>
      <c r="G880" s="4"/>
      <c r="H880" s="4"/>
      <c r="I880" s="4"/>
    </row>
    <row r="881" spans="2:9" x14ac:dyDescent="0.2">
      <c r="B881" s="4"/>
      <c r="C881" s="4"/>
      <c r="D881" s="4"/>
      <c r="E881" s="4"/>
      <c r="F881" s="4"/>
      <c r="G881" s="4"/>
      <c r="H881" s="4"/>
      <c r="I881" s="4"/>
    </row>
    <row r="882" spans="2:9" x14ac:dyDescent="0.2">
      <c r="B882" s="4"/>
      <c r="C882" s="4"/>
      <c r="D882" s="4"/>
      <c r="E882" s="4"/>
      <c r="F882" s="4"/>
      <c r="G882" s="4"/>
      <c r="H882" s="4"/>
      <c r="I882" s="4"/>
    </row>
    <row r="883" spans="2:9" x14ac:dyDescent="0.2">
      <c r="B883" s="4"/>
      <c r="C883" s="4"/>
      <c r="D883" s="4"/>
      <c r="E883" s="4"/>
      <c r="F883" s="4"/>
      <c r="G883" s="4"/>
      <c r="H883" s="4"/>
      <c r="I883" s="4"/>
    </row>
    <row r="884" spans="2:9" x14ac:dyDescent="0.2">
      <c r="B884" s="4"/>
      <c r="C884" s="4"/>
      <c r="D884" s="4"/>
      <c r="E884" s="4"/>
      <c r="F884" s="4"/>
      <c r="G884" s="4"/>
      <c r="H884" s="4"/>
      <c r="I884" s="4"/>
    </row>
    <row r="885" spans="2:9" x14ac:dyDescent="0.2">
      <c r="B885" s="4"/>
      <c r="C885" s="4"/>
      <c r="D885" s="4"/>
      <c r="E885" s="4"/>
      <c r="F885" s="4"/>
      <c r="G885" s="4"/>
      <c r="H885" s="4"/>
      <c r="I885" s="4"/>
    </row>
    <row r="886" spans="2:9" x14ac:dyDescent="0.2">
      <c r="B886" s="4"/>
      <c r="C886" s="4"/>
      <c r="D886" s="4"/>
      <c r="E886" s="4"/>
      <c r="F886" s="4"/>
      <c r="G886" s="4"/>
      <c r="H886" s="4"/>
      <c r="I886" s="4"/>
    </row>
    <row r="887" spans="2:9" x14ac:dyDescent="0.2">
      <c r="B887" s="4"/>
      <c r="C887" s="4"/>
      <c r="D887" s="4"/>
      <c r="E887" s="4"/>
      <c r="F887" s="4"/>
      <c r="G887" s="4"/>
      <c r="H887" s="4"/>
      <c r="I887" s="4"/>
    </row>
    <row r="888" spans="2:9" x14ac:dyDescent="0.2">
      <c r="B888" s="4"/>
      <c r="C888" s="4"/>
      <c r="D888" s="4"/>
      <c r="E888" s="4"/>
      <c r="F888" s="4"/>
      <c r="G888" s="4"/>
      <c r="H888" s="4"/>
      <c r="I888" s="4"/>
    </row>
    <row r="889" spans="2:9" x14ac:dyDescent="0.2">
      <c r="B889" s="4"/>
      <c r="C889" s="4"/>
      <c r="D889" s="4"/>
      <c r="E889" s="4"/>
      <c r="F889" s="4"/>
      <c r="G889" s="4"/>
      <c r="H889" s="4"/>
      <c r="I889" s="4"/>
    </row>
    <row r="890" spans="2:9" x14ac:dyDescent="0.2">
      <c r="B890" s="4"/>
      <c r="C890" s="4"/>
      <c r="D890" s="4"/>
      <c r="E890" s="4"/>
      <c r="F890" s="4"/>
      <c r="G890" s="4"/>
      <c r="H890" s="4"/>
      <c r="I890" s="4"/>
    </row>
    <row r="891" spans="2:9" x14ac:dyDescent="0.2">
      <c r="B891" s="4"/>
      <c r="C891" s="4"/>
      <c r="D891" s="4"/>
      <c r="E891" s="4"/>
      <c r="F891" s="4"/>
      <c r="G891" s="4"/>
      <c r="H891" s="4"/>
      <c r="I891" s="4"/>
    </row>
    <row r="892" spans="2:9" x14ac:dyDescent="0.2">
      <c r="B892" s="4"/>
      <c r="C892" s="4"/>
      <c r="D892" s="4"/>
      <c r="E892" s="4"/>
      <c r="F892" s="4"/>
      <c r="G892" s="4"/>
      <c r="H892" s="4"/>
      <c r="I892" s="4"/>
    </row>
    <row r="893" spans="2:9" x14ac:dyDescent="0.2">
      <c r="B893" s="4"/>
      <c r="C893" s="4"/>
      <c r="D893" s="4"/>
      <c r="E893" s="4"/>
      <c r="F893" s="4"/>
      <c r="G893" s="4"/>
      <c r="H893" s="4"/>
      <c r="I893" s="4"/>
    </row>
    <row r="894" spans="2:9" x14ac:dyDescent="0.2">
      <c r="B894" s="4"/>
      <c r="C894" s="4"/>
      <c r="D894" s="4"/>
      <c r="E894" s="4"/>
      <c r="F894" s="4"/>
      <c r="G894" s="4"/>
      <c r="H894" s="4"/>
      <c r="I894" s="4"/>
    </row>
    <row r="895" spans="2:9" x14ac:dyDescent="0.2">
      <c r="B895" s="4"/>
      <c r="C895" s="4"/>
      <c r="D895" s="4"/>
      <c r="E895" s="4"/>
      <c r="F895" s="4"/>
      <c r="G895" s="4"/>
      <c r="H895" s="4"/>
      <c r="I895" s="4"/>
    </row>
    <row r="896" spans="2:9" x14ac:dyDescent="0.2">
      <c r="B896" s="4"/>
      <c r="C896" s="4"/>
      <c r="D896" s="4"/>
      <c r="E896" s="4"/>
      <c r="F896" s="4"/>
      <c r="G896" s="4"/>
      <c r="H896" s="4"/>
      <c r="I896" s="4"/>
    </row>
    <row r="897" spans="2:9" x14ac:dyDescent="0.2">
      <c r="B897" s="4"/>
      <c r="C897" s="4"/>
      <c r="D897" s="4"/>
      <c r="E897" s="4"/>
      <c r="F897" s="4"/>
      <c r="G897" s="4"/>
      <c r="H897" s="4"/>
      <c r="I897" s="4"/>
    </row>
    <row r="898" spans="2:9" x14ac:dyDescent="0.2">
      <c r="B898" s="4"/>
      <c r="C898" s="4"/>
      <c r="D898" s="4"/>
      <c r="E898" s="4"/>
      <c r="F898" s="4"/>
      <c r="G898" s="4"/>
      <c r="H898" s="4"/>
      <c r="I898" s="4"/>
    </row>
    <row r="899" spans="2:9" x14ac:dyDescent="0.2">
      <c r="B899" s="4"/>
      <c r="C899" s="4"/>
      <c r="D899" s="4"/>
      <c r="E899" s="4"/>
      <c r="F899" s="4"/>
      <c r="G899" s="4"/>
      <c r="H899" s="4"/>
      <c r="I899" s="4"/>
    </row>
    <row r="900" spans="2:9" x14ac:dyDescent="0.2">
      <c r="B900" s="4"/>
      <c r="C900" s="4"/>
      <c r="D900" s="4"/>
      <c r="E900" s="4"/>
      <c r="F900" s="4"/>
      <c r="G900" s="4"/>
      <c r="H900" s="4"/>
      <c r="I900" s="4"/>
    </row>
    <row r="901" spans="2:9" x14ac:dyDescent="0.2">
      <c r="B901" s="4"/>
      <c r="C901" s="4"/>
      <c r="D901" s="4"/>
      <c r="E901" s="4"/>
      <c r="F901" s="4"/>
      <c r="G901" s="4"/>
      <c r="H901" s="4"/>
      <c r="I901" s="4"/>
    </row>
    <row r="902" spans="2:9" x14ac:dyDescent="0.2">
      <c r="B902" s="4"/>
      <c r="C902" s="4"/>
      <c r="D902" s="4"/>
      <c r="E902" s="4"/>
      <c r="F902" s="4"/>
      <c r="G902" s="4"/>
      <c r="H902" s="4"/>
      <c r="I902" s="4"/>
    </row>
    <row r="903" spans="2:9" x14ac:dyDescent="0.2">
      <c r="B903" s="4"/>
      <c r="C903" s="4"/>
      <c r="D903" s="4"/>
      <c r="E903" s="4"/>
      <c r="F903" s="4"/>
      <c r="G903" s="4"/>
      <c r="H903" s="4"/>
      <c r="I903" s="4"/>
    </row>
    <row r="904" spans="2:9" x14ac:dyDescent="0.2">
      <c r="B904" s="4"/>
      <c r="C904" s="4"/>
      <c r="D904" s="4"/>
      <c r="E904" s="4"/>
      <c r="F904" s="4"/>
      <c r="G904" s="4"/>
      <c r="H904" s="4"/>
      <c r="I904" s="4"/>
    </row>
    <row r="905" spans="2:9" x14ac:dyDescent="0.2">
      <c r="B905" s="4"/>
      <c r="C905" s="4"/>
      <c r="D905" s="4"/>
      <c r="E905" s="4"/>
      <c r="F905" s="4"/>
      <c r="G905" s="4"/>
      <c r="H905" s="4"/>
      <c r="I905" s="4"/>
    </row>
    <row r="906" spans="2:9" x14ac:dyDescent="0.2">
      <c r="B906" s="4"/>
      <c r="C906" s="4"/>
      <c r="D906" s="4"/>
      <c r="E906" s="4"/>
      <c r="F906" s="4"/>
      <c r="G906" s="4"/>
      <c r="H906" s="4"/>
      <c r="I906" s="4"/>
    </row>
    <row r="907" spans="2:9" x14ac:dyDescent="0.2">
      <c r="B907" s="4"/>
      <c r="C907" s="4"/>
      <c r="D907" s="4"/>
      <c r="E907" s="4"/>
      <c r="F907" s="4"/>
      <c r="G907" s="4"/>
      <c r="H907" s="4"/>
      <c r="I907" s="4"/>
    </row>
    <row r="908" spans="2:9" x14ac:dyDescent="0.2">
      <c r="B908" s="4"/>
      <c r="C908" s="4"/>
      <c r="D908" s="4"/>
      <c r="E908" s="4"/>
      <c r="F908" s="4"/>
      <c r="G908" s="4"/>
      <c r="H908" s="4"/>
      <c r="I908" s="4"/>
    </row>
    <row r="909" spans="2:9" x14ac:dyDescent="0.2">
      <c r="B909" s="4"/>
      <c r="C909" s="4"/>
      <c r="D909" s="4"/>
      <c r="E909" s="4"/>
      <c r="F909" s="4"/>
      <c r="G909" s="4"/>
      <c r="H909" s="4"/>
      <c r="I909" s="4"/>
    </row>
    <row r="910" spans="2:9" x14ac:dyDescent="0.2">
      <c r="B910" s="4"/>
      <c r="C910" s="4"/>
      <c r="D910" s="4"/>
      <c r="E910" s="4"/>
      <c r="F910" s="4"/>
      <c r="G910" s="4"/>
      <c r="H910" s="4"/>
      <c r="I910" s="4"/>
    </row>
    <row r="911" spans="2:9" x14ac:dyDescent="0.2">
      <c r="B911" s="4"/>
      <c r="C911" s="4"/>
      <c r="D911" s="4"/>
      <c r="E911" s="4"/>
      <c r="F911" s="4"/>
      <c r="G911" s="4"/>
      <c r="H911" s="4"/>
      <c r="I911" s="4"/>
    </row>
    <row r="912" spans="2:9" x14ac:dyDescent="0.2">
      <c r="B912" s="4"/>
      <c r="C912" s="4"/>
      <c r="D912" s="4"/>
      <c r="E912" s="4"/>
      <c r="F912" s="4"/>
      <c r="G912" s="4"/>
      <c r="H912" s="4"/>
      <c r="I912" s="4"/>
    </row>
    <row r="913" spans="2:9" x14ac:dyDescent="0.2">
      <c r="B913" s="4"/>
      <c r="C913" s="4"/>
      <c r="D913" s="4"/>
      <c r="E913" s="4"/>
      <c r="F913" s="4"/>
      <c r="G913" s="4"/>
      <c r="H913" s="4"/>
      <c r="I913" s="4"/>
    </row>
    <row r="914" spans="2:9" x14ac:dyDescent="0.2">
      <c r="B914" s="4"/>
      <c r="C914" s="4"/>
      <c r="D914" s="4"/>
      <c r="E914" s="4"/>
      <c r="F914" s="4"/>
      <c r="G914" s="4"/>
      <c r="H914" s="4"/>
      <c r="I914" s="4"/>
    </row>
    <row r="915" spans="2:9" x14ac:dyDescent="0.2">
      <c r="B915" s="4"/>
      <c r="C915" s="4"/>
      <c r="D915" s="4"/>
      <c r="E915" s="4"/>
      <c r="F915" s="4"/>
      <c r="G915" s="4"/>
      <c r="H915" s="4"/>
      <c r="I915" s="4"/>
    </row>
    <row r="916" spans="2:9" x14ac:dyDescent="0.2">
      <c r="B916" s="4"/>
      <c r="C916" s="4"/>
      <c r="D916" s="4"/>
      <c r="E916" s="4"/>
      <c r="F916" s="4"/>
      <c r="G916" s="4"/>
      <c r="H916" s="4"/>
      <c r="I916" s="4"/>
    </row>
    <row r="917" spans="2:9" x14ac:dyDescent="0.2">
      <c r="B917" s="4"/>
      <c r="C917" s="4"/>
      <c r="D917" s="4"/>
      <c r="E917" s="4"/>
      <c r="F917" s="4"/>
      <c r="G917" s="4"/>
      <c r="H917" s="4"/>
      <c r="I917" s="4"/>
    </row>
    <row r="918" spans="2:9" x14ac:dyDescent="0.2">
      <c r="B918" s="4"/>
      <c r="C918" s="4"/>
      <c r="D918" s="4"/>
      <c r="E918" s="4"/>
      <c r="F918" s="4"/>
      <c r="G918" s="4"/>
      <c r="H918" s="4"/>
      <c r="I918" s="4"/>
    </row>
    <row r="919" spans="2:9" x14ac:dyDescent="0.2">
      <c r="B919" s="4"/>
      <c r="C919" s="4"/>
      <c r="D919" s="4"/>
      <c r="E919" s="4"/>
      <c r="F919" s="4"/>
      <c r="G919" s="4"/>
      <c r="H919" s="4"/>
      <c r="I919" s="4"/>
    </row>
    <row r="920" spans="2:9" x14ac:dyDescent="0.2">
      <c r="B920" s="4"/>
      <c r="C920" s="4"/>
      <c r="D920" s="4"/>
      <c r="E920" s="4"/>
      <c r="F920" s="4"/>
      <c r="G920" s="4"/>
      <c r="H920" s="4"/>
      <c r="I920" s="4"/>
    </row>
    <row r="921" spans="2:9" x14ac:dyDescent="0.2">
      <c r="B921" s="4"/>
      <c r="C921" s="4"/>
      <c r="D921" s="4"/>
      <c r="E921" s="4"/>
      <c r="F921" s="4"/>
      <c r="G921" s="4"/>
      <c r="H921" s="4"/>
      <c r="I921" s="4"/>
    </row>
    <row r="922" spans="2:9" x14ac:dyDescent="0.2">
      <c r="B922" s="4"/>
      <c r="C922" s="4"/>
      <c r="D922" s="4"/>
      <c r="E922" s="4"/>
      <c r="F922" s="4"/>
      <c r="G922" s="4"/>
      <c r="H922" s="4"/>
      <c r="I922" s="4"/>
    </row>
    <row r="923" spans="2:9" x14ac:dyDescent="0.2">
      <c r="B923" s="4"/>
      <c r="C923" s="4"/>
      <c r="D923" s="4"/>
      <c r="E923" s="4"/>
      <c r="F923" s="4"/>
      <c r="G923" s="4"/>
      <c r="H923" s="4"/>
      <c r="I923" s="4"/>
    </row>
    <row r="924" spans="2:9" x14ac:dyDescent="0.2">
      <c r="B924" s="4"/>
      <c r="C924" s="4"/>
      <c r="D924" s="4"/>
      <c r="E924" s="4"/>
      <c r="F924" s="4"/>
      <c r="G924" s="4"/>
      <c r="H924" s="4"/>
      <c r="I924" s="4"/>
    </row>
    <row r="925" spans="2:9" x14ac:dyDescent="0.2">
      <c r="B925" s="4"/>
      <c r="C925" s="4"/>
      <c r="D925" s="4"/>
      <c r="E925" s="4"/>
      <c r="F925" s="4"/>
      <c r="G925" s="4"/>
      <c r="H925" s="4"/>
      <c r="I925" s="4"/>
    </row>
    <row r="926" spans="2:9" x14ac:dyDescent="0.2">
      <c r="B926" s="4"/>
      <c r="C926" s="4"/>
      <c r="D926" s="4"/>
      <c r="E926" s="4"/>
      <c r="F926" s="4"/>
      <c r="G926" s="4"/>
      <c r="H926" s="4"/>
      <c r="I926" s="4"/>
    </row>
    <row r="927" spans="2:9" x14ac:dyDescent="0.2">
      <c r="B927" s="4"/>
      <c r="C927" s="4"/>
      <c r="D927" s="4"/>
      <c r="E927" s="4"/>
      <c r="F927" s="4"/>
      <c r="G927" s="4"/>
      <c r="H927" s="4"/>
      <c r="I927" s="4"/>
    </row>
    <row r="928" spans="2:9" x14ac:dyDescent="0.2">
      <c r="B928" s="4"/>
      <c r="C928" s="4"/>
      <c r="D928" s="4"/>
      <c r="E928" s="4"/>
      <c r="F928" s="4"/>
      <c r="G928" s="4"/>
      <c r="H928" s="4"/>
      <c r="I928" s="4"/>
    </row>
    <row r="929" spans="2:9" x14ac:dyDescent="0.2">
      <c r="B929" s="4"/>
      <c r="C929" s="4"/>
      <c r="D929" s="4"/>
      <c r="E929" s="4"/>
      <c r="F929" s="4"/>
      <c r="G929" s="4"/>
      <c r="H929" s="4"/>
      <c r="I929" s="4"/>
    </row>
    <row r="930" spans="2:9" x14ac:dyDescent="0.2">
      <c r="B930" s="4"/>
      <c r="C930" s="4"/>
      <c r="D930" s="4"/>
      <c r="E930" s="4"/>
      <c r="F930" s="4"/>
      <c r="G930" s="4"/>
      <c r="H930" s="4"/>
      <c r="I930" s="4"/>
    </row>
    <row r="931" spans="2:9" x14ac:dyDescent="0.2">
      <c r="B931" s="4"/>
      <c r="C931" s="4"/>
      <c r="D931" s="4"/>
      <c r="E931" s="4"/>
      <c r="F931" s="4"/>
      <c r="G931" s="4"/>
      <c r="H931" s="4"/>
      <c r="I931" s="4"/>
    </row>
    <row r="932" spans="2:9" x14ac:dyDescent="0.2">
      <c r="B932" s="4"/>
      <c r="C932" s="4"/>
      <c r="D932" s="4"/>
      <c r="E932" s="4"/>
      <c r="F932" s="4"/>
      <c r="G932" s="4"/>
      <c r="H932" s="4"/>
      <c r="I932" s="4"/>
    </row>
    <row r="933" spans="2:9" x14ac:dyDescent="0.2">
      <c r="B933" s="4"/>
      <c r="C933" s="4"/>
      <c r="D933" s="4"/>
      <c r="E933" s="4"/>
      <c r="F933" s="4"/>
      <c r="G933" s="4"/>
      <c r="H933" s="4"/>
      <c r="I933" s="4"/>
    </row>
    <row r="934" spans="2:9" x14ac:dyDescent="0.2">
      <c r="B934" s="4"/>
      <c r="C934" s="4"/>
      <c r="D934" s="4"/>
      <c r="E934" s="4"/>
      <c r="F934" s="4"/>
      <c r="G934" s="4"/>
      <c r="H934" s="4"/>
      <c r="I934" s="4"/>
    </row>
    <row r="935" spans="2:9" x14ac:dyDescent="0.2">
      <c r="B935" s="4"/>
      <c r="C935" s="4"/>
      <c r="D935" s="4"/>
      <c r="E935" s="4"/>
      <c r="F935" s="4"/>
      <c r="G935" s="4"/>
      <c r="H935" s="4"/>
      <c r="I935" s="4"/>
    </row>
    <row r="936" spans="2:9" x14ac:dyDescent="0.2">
      <c r="B936" s="4"/>
      <c r="C936" s="4"/>
      <c r="D936" s="4"/>
      <c r="E936" s="4"/>
      <c r="F936" s="4"/>
      <c r="G936" s="4"/>
      <c r="H936" s="4"/>
      <c r="I936" s="4"/>
    </row>
    <row r="937" spans="2:9" x14ac:dyDescent="0.2">
      <c r="B937" s="4"/>
      <c r="C937" s="4"/>
      <c r="D937" s="4"/>
      <c r="E937" s="4"/>
      <c r="F937" s="4"/>
      <c r="G937" s="4"/>
      <c r="H937" s="4"/>
      <c r="I937" s="4"/>
    </row>
    <row r="938" spans="2:9" x14ac:dyDescent="0.2">
      <c r="B938" s="4"/>
      <c r="C938" s="4"/>
      <c r="D938" s="4"/>
      <c r="E938" s="4"/>
      <c r="F938" s="4"/>
      <c r="G938" s="4"/>
      <c r="H938" s="4"/>
      <c r="I938" s="4"/>
    </row>
    <row r="939" spans="2:9" x14ac:dyDescent="0.2">
      <c r="B939" s="4"/>
      <c r="C939" s="4"/>
      <c r="D939" s="4"/>
      <c r="E939" s="4"/>
      <c r="F939" s="4"/>
      <c r="G939" s="4"/>
      <c r="H939" s="4"/>
      <c r="I939" s="4"/>
    </row>
    <row r="940" spans="2:9" x14ac:dyDescent="0.2">
      <c r="B940" s="4"/>
      <c r="C940" s="4"/>
      <c r="D940" s="4"/>
      <c r="E940" s="4"/>
      <c r="F940" s="4"/>
      <c r="G940" s="4"/>
      <c r="H940" s="4"/>
      <c r="I940" s="4"/>
    </row>
    <row r="941" spans="2:9" x14ac:dyDescent="0.2">
      <c r="B941" s="4"/>
      <c r="C941" s="4"/>
      <c r="D941" s="4"/>
      <c r="E941" s="4"/>
      <c r="F941" s="4"/>
      <c r="G941" s="4"/>
      <c r="H941" s="4"/>
      <c r="I941" s="4"/>
    </row>
    <row r="942" spans="2:9" x14ac:dyDescent="0.2">
      <c r="B942" s="4"/>
      <c r="C942" s="4"/>
      <c r="D942" s="4"/>
      <c r="E942" s="4"/>
      <c r="F942" s="4"/>
      <c r="G942" s="4"/>
      <c r="H942" s="4"/>
      <c r="I942" s="4"/>
    </row>
    <row r="943" spans="2:9" x14ac:dyDescent="0.2">
      <c r="B943" s="4"/>
      <c r="C943" s="4"/>
      <c r="D943" s="4"/>
      <c r="E943" s="4"/>
      <c r="F943" s="4"/>
      <c r="G943" s="4"/>
      <c r="H943" s="4"/>
      <c r="I943" s="4"/>
    </row>
    <row r="944" spans="2:9" x14ac:dyDescent="0.2">
      <c r="B944" s="4"/>
      <c r="C944" s="4"/>
      <c r="D944" s="4"/>
      <c r="E944" s="4"/>
      <c r="F944" s="4"/>
      <c r="G944" s="4"/>
      <c r="H944" s="4"/>
      <c r="I944" s="4"/>
    </row>
    <row r="945" spans="2:9" x14ac:dyDescent="0.2">
      <c r="B945" s="4"/>
      <c r="C945" s="4"/>
      <c r="D945" s="4"/>
      <c r="E945" s="4"/>
      <c r="F945" s="4"/>
      <c r="G945" s="4"/>
      <c r="H945" s="4"/>
      <c r="I945" s="4"/>
    </row>
    <row r="946" spans="2:9" x14ac:dyDescent="0.2">
      <c r="B946" s="4"/>
      <c r="C946" s="4"/>
      <c r="D946" s="4"/>
      <c r="E946" s="4"/>
      <c r="F946" s="4"/>
      <c r="G946" s="4"/>
      <c r="H946" s="4"/>
      <c r="I946" s="4"/>
    </row>
    <row r="947" spans="2:9" x14ac:dyDescent="0.2">
      <c r="B947" s="4"/>
      <c r="C947" s="4"/>
      <c r="D947" s="4"/>
      <c r="E947" s="4"/>
      <c r="F947" s="4"/>
      <c r="G947" s="4"/>
      <c r="H947" s="4"/>
      <c r="I947" s="4"/>
    </row>
    <row r="948" spans="2:9" x14ac:dyDescent="0.2">
      <c r="B948" s="4"/>
      <c r="C948" s="4"/>
      <c r="D948" s="4"/>
      <c r="E948" s="4"/>
      <c r="F948" s="4"/>
      <c r="G948" s="4"/>
      <c r="H948" s="4"/>
      <c r="I948" s="4"/>
    </row>
    <row r="949" spans="2:9" x14ac:dyDescent="0.2">
      <c r="B949" s="4"/>
      <c r="C949" s="4"/>
      <c r="D949" s="4"/>
      <c r="E949" s="4"/>
      <c r="F949" s="4"/>
      <c r="G949" s="4"/>
      <c r="H949" s="4"/>
      <c r="I949" s="4"/>
    </row>
    <row r="950" spans="2:9" x14ac:dyDescent="0.2">
      <c r="B950" s="4"/>
      <c r="C950" s="4"/>
      <c r="D950" s="4"/>
      <c r="E950" s="4"/>
      <c r="F950" s="4"/>
      <c r="G950" s="4"/>
      <c r="H950" s="4"/>
      <c r="I950" s="4"/>
    </row>
    <row r="951" spans="2:9" x14ac:dyDescent="0.2">
      <c r="B951" s="4"/>
      <c r="C951" s="4"/>
      <c r="D951" s="4"/>
      <c r="E951" s="4"/>
      <c r="F951" s="4"/>
      <c r="G951" s="4"/>
      <c r="H951" s="4"/>
      <c r="I951" s="4"/>
    </row>
    <row r="952" spans="2:9" x14ac:dyDescent="0.2">
      <c r="B952" s="4"/>
      <c r="C952" s="4"/>
      <c r="D952" s="4"/>
      <c r="E952" s="4"/>
      <c r="F952" s="4"/>
      <c r="G952" s="4"/>
      <c r="H952" s="4"/>
      <c r="I952" s="4"/>
    </row>
    <row r="953" spans="2:9" x14ac:dyDescent="0.2">
      <c r="B953" s="4"/>
      <c r="C953" s="4"/>
      <c r="D953" s="4"/>
      <c r="E953" s="4"/>
      <c r="F953" s="4"/>
      <c r="G953" s="4"/>
      <c r="H953" s="4"/>
      <c r="I953" s="4"/>
    </row>
    <row r="954" spans="2:9" x14ac:dyDescent="0.2">
      <c r="B954" s="4"/>
      <c r="C954" s="4"/>
      <c r="D954" s="4"/>
      <c r="E954" s="4"/>
      <c r="F954" s="4"/>
      <c r="G954" s="4"/>
      <c r="H954" s="4"/>
      <c r="I954" s="4"/>
    </row>
    <row r="955" spans="2:9" x14ac:dyDescent="0.2">
      <c r="B955" s="4"/>
      <c r="C955" s="4"/>
      <c r="D955" s="4"/>
      <c r="E955" s="4"/>
      <c r="F955" s="4"/>
      <c r="G955" s="4"/>
      <c r="H955" s="4"/>
      <c r="I955" s="4"/>
    </row>
    <row r="956" spans="2:9" x14ac:dyDescent="0.2">
      <c r="B956" s="4"/>
      <c r="C956" s="4"/>
      <c r="D956" s="4"/>
      <c r="E956" s="4"/>
      <c r="F956" s="4"/>
      <c r="G956" s="4"/>
      <c r="H956" s="4"/>
      <c r="I956" s="4"/>
    </row>
    <row r="957" spans="2:9" x14ac:dyDescent="0.2">
      <c r="B957" s="4"/>
      <c r="C957" s="4"/>
      <c r="D957" s="4"/>
      <c r="E957" s="4"/>
      <c r="F957" s="4"/>
      <c r="G957" s="4"/>
      <c r="H957" s="4"/>
      <c r="I957" s="4"/>
    </row>
    <row r="958" spans="2:9" x14ac:dyDescent="0.2">
      <c r="B958" s="4"/>
      <c r="C958" s="4"/>
      <c r="D958" s="4"/>
      <c r="E958" s="4"/>
      <c r="F958" s="4"/>
      <c r="G958" s="4"/>
      <c r="H958" s="4"/>
      <c r="I958" s="4"/>
    </row>
    <row r="959" spans="2:9" x14ac:dyDescent="0.2">
      <c r="B959" s="4"/>
      <c r="C959" s="4"/>
      <c r="D959" s="4"/>
      <c r="E959" s="4"/>
      <c r="F959" s="4"/>
      <c r="G959" s="4"/>
      <c r="H959" s="4"/>
      <c r="I959" s="4"/>
    </row>
    <row r="960" spans="2:9" x14ac:dyDescent="0.2">
      <c r="B960" s="4"/>
      <c r="C960" s="4"/>
      <c r="D960" s="4"/>
      <c r="E960" s="4"/>
      <c r="F960" s="4"/>
      <c r="G960" s="4"/>
      <c r="H960" s="4"/>
      <c r="I960" s="4"/>
    </row>
    <row r="961" spans="2:9" x14ac:dyDescent="0.2">
      <c r="B961" s="4"/>
      <c r="C961" s="4"/>
      <c r="D961" s="4"/>
      <c r="E961" s="4"/>
      <c r="F961" s="4"/>
      <c r="G961" s="4"/>
      <c r="H961" s="4"/>
      <c r="I961" s="4"/>
    </row>
    <row r="962" spans="2:9" x14ac:dyDescent="0.2">
      <c r="B962" s="4"/>
      <c r="C962" s="4"/>
      <c r="D962" s="4"/>
      <c r="E962" s="4"/>
      <c r="F962" s="4"/>
      <c r="G962" s="4"/>
      <c r="H962" s="4"/>
      <c r="I962" s="4"/>
    </row>
    <row r="963" spans="2:9" x14ac:dyDescent="0.2">
      <c r="B963" s="4"/>
      <c r="C963" s="4"/>
      <c r="D963" s="4"/>
      <c r="E963" s="4"/>
      <c r="F963" s="4"/>
      <c r="G963" s="4"/>
      <c r="H963" s="4"/>
      <c r="I963" s="4"/>
    </row>
    <row r="964" spans="2:9" x14ac:dyDescent="0.2">
      <c r="B964" s="4"/>
      <c r="C964" s="4"/>
      <c r="D964" s="4"/>
      <c r="E964" s="4"/>
      <c r="F964" s="4"/>
      <c r="G964" s="4"/>
      <c r="H964" s="4"/>
      <c r="I964" s="4"/>
    </row>
    <row r="965" spans="2:9" x14ac:dyDescent="0.2">
      <c r="B965" s="4"/>
      <c r="C965" s="4"/>
      <c r="D965" s="4"/>
      <c r="E965" s="4"/>
      <c r="F965" s="4"/>
      <c r="G965" s="4"/>
      <c r="H965" s="4"/>
      <c r="I965" s="4"/>
    </row>
    <row r="966" spans="2:9" x14ac:dyDescent="0.2">
      <c r="B966" s="4"/>
      <c r="C966" s="4"/>
      <c r="D966" s="4"/>
      <c r="E966" s="4"/>
      <c r="F966" s="4"/>
      <c r="G966" s="4"/>
      <c r="H966" s="4"/>
      <c r="I966" s="4"/>
    </row>
    <row r="967" spans="2:9" x14ac:dyDescent="0.2">
      <c r="B967" s="4"/>
      <c r="C967" s="4"/>
      <c r="D967" s="4"/>
      <c r="E967" s="4"/>
      <c r="F967" s="4"/>
      <c r="G967" s="4"/>
      <c r="H967" s="4"/>
      <c r="I967" s="4"/>
    </row>
    <row r="968" spans="2:9" x14ac:dyDescent="0.2">
      <c r="B968" s="4"/>
      <c r="C968" s="4"/>
      <c r="D968" s="4"/>
      <c r="E968" s="4"/>
      <c r="F968" s="4"/>
      <c r="G968" s="4"/>
      <c r="H968" s="4"/>
      <c r="I968" s="4"/>
    </row>
    <row r="969" spans="2:9" x14ac:dyDescent="0.2">
      <c r="B969" s="4"/>
      <c r="C969" s="4"/>
      <c r="D969" s="4"/>
      <c r="E969" s="4"/>
      <c r="F969" s="4"/>
      <c r="G969" s="4"/>
      <c r="H969" s="4"/>
      <c r="I969" s="4"/>
    </row>
    <row r="970" spans="2:9" x14ac:dyDescent="0.2">
      <c r="B970" s="4"/>
      <c r="C970" s="4"/>
      <c r="D970" s="4"/>
      <c r="E970" s="4"/>
      <c r="F970" s="4"/>
      <c r="G970" s="4"/>
      <c r="H970" s="4"/>
      <c r="I970" s="4"/>
    </row>
    <row r="971" spans="2:9" x14ac:dyDescent="0.2">
      <c r="B971" s="4"/>
      <c r="C971" s="4"/>
      <c r="D971" s="4"/>
      <c r="E971" s="4"/>
      <c r="F971" s="4"/>
      <c r="G971" s="4"/>
      <c r="H971" s="4"/>
      <c r="I971" s="4"/>
    </row>
    <row r="972" spans="2:9" x14ac:dyDescent="0.2">
      <c r="B972" s="4"/>
      <c r="C972" s="4"/>
      <c r="D972" s="4"/>
      <c r="E972" s="4"/>
      <c r="F972" s="4"/>
      <c r="G972" s="4"/>
      <c r="H972" s="4"/>
      <c r="I972" s="4"/>
    </row>
    <row r="973" spans="2:9" x14ac:dyDescent="0.2">
      <c r="B973" s="4"/>
      <c r="C973" s="4"/>
      <c r="D973" s="4"/>
      <c r="E973" s="4"/>
      <c r="F973" s="4"/>
      <c r="G973" s="4"/>
      <c r="H973" s="4"/>
      <c r="I973" s="4"/>
    </row>
    <row r="974" spans="2:9" x14ac:dyDescent="0.2">
      <c r="B974" s="4"/>
      <c r="C974" s="4"/>
      <c r="D974" s="4"/>
      <c r="E974" s="4"/>
      <c r="F974" s="4"/>
      <c r="G974" s="4"/>
      <c r="H974" s="4"/>
      <c r="I974" s="4"/>
    </row>
    <row r="975" spans="2:9" x14ac:dyDescent="0.2">
      <c r="B975" s="4"/>
      <c r="C975" s="4"/>
      <c r="D975" s="4"/>
      <c r="E975" s="4"/>
      <c r="F975" s="4"/>
      <c r="G975" s="4"/>
      <c r="H975" s="4"/>
      <c r="I975" s="4"/>
    </row>
    <row r="976" spans="2:9" x14ac:dyDescent="0.2">
      <c r="B976" s="4"/>
      <c r="C976" s="4"/>
      <c r="D976" s="4"/>
      <c r="E976" s="4"/>
      <c r="F976" s="4"/>
      <c r="G976" s="4"/>
      <c r="H976" s="4"/>
      <c r="I976" s="4"/>
    </row>
    <row r="977" spans="2:9" x14ac:dyDescent="0.2">
      <c r="B977" s="4"/>
      <c r="C977" s="4"/>
      <c r="D977" s="4"/>
      <c r="E977" s="4"/>
      <c r="F977" s="4"/>
      <c r="G977" s="4"/>
      <c r="H977" s="4"/>
      <c r="I977" s="4"/>
    </row>
    <row r="978" spans="2:9" x14ac:dyDescent="0.2">
      <c r="B978" s="4"/>
      <c r="C978" s="4"/>
      <c r="D978" s="4"/>
      <c r="E978" s="4"/>
      <c r="F978" s="4"/>
      <c r="G978" s="4"/>
      <c r="H978" s="4"/>
      <c r="I978" s="4"/>
    </row>
    <row r="979" spans="2:9" x14ac:dyDescent="0.2">
      <c r="B979" s="4"/>
      <c r="C979" s="4"/>
      <c r="D979" s="4"/>
      <c r="E979" s="4"/>
      <c r="F979" s="4"/>
      <c r="G979" s="4"/>
      <c r="H979" s="4"/>
      <c r="I979" s="4"/>
    </row>
    <row r="980" spans="2:9" x14ac:dyDescent="0.2">
      <c r="B980" s="4"/>
      <c r="C980" s="4"/>
      <c r="D980" s="4"/>
      <c r="E980" s="4"/>
      <c r="F980" s="4"/>
      <c r="G980" s="4"/>
      <c r="H980" s="4"/>
      <c r="I980" s="4"/>
    </row>
    <row r="981" spans="2:9" x14ac:dyDescent="0.2">
      <c r="B981" s="4"/>
      <c r="C981" s="4"/>
      <c r="D981" s="4"/>
      <c r="E981" s="4"/>
      <c r="F981" s="4"/>
      <c r="G981" s="4"/>
      <c r="H981" s="4"/>
      <c r="I981" s="4"/>
    </row>
    <row r="982" spans="2:9" x14ac:dyDescent="0.2">
      <c r="B982" s="4"/>
      <c r="C982" s="4"/>
      <c r="D982" s="4"/>
      <c r="E982" s="4"/>
      <c r="F982" s="4"/>
      <c r="G982" s="4"/>
      <c r="H982" s="4"/>
      <c r="I982" s="4"/>
    </row>
    <row r="983" spans="2:9" x14ac:dyDescent="0.2">
      <c r="B983" s="4"/>
      <c r="C983" s="4"/>
      <c r="D983" s="4"/>
      <c r="E983" s="4"/>
      <c r="F983" s="4"/>
      <c r="G983" s="4"/>
      <c r="H983" s="4"/>
      <c r="I983" s="4"/>
    </row>
    <row r="984" spans="2:9" x14ac:dyDescent="0.2">
      <c r="B984" s="4"/>
      <c r="C984" s="4"/>
      <c r="D984" s="4"/>
      <c r="E984" s="4"/>
      <c r="F984" s="4"/>
      <c r="G984" s="4"/>
      <c r="H984" s="4"/>
      <c r="I984" s="4"/>
    </row>
    <row r="985" spans="2:9" x14ac:dyDescent="0.2">
      <c r="B985" s="4"/>
      <c r="C985" s="4"/>
      <c r="D985" s="4"/>
      <c r="E985" s="4"/>
      <c r="F985" s="4"/>
      <c r="G985" s="4"/>
      <c r="H985" s="4"/>
      <c r="I985" s="4"/>
    </row>
    <row r="986" spans="2:9" x14ac:dyDescent="0.2">
      <c r="B986" s="4"/>
      <c r="C986" s="4"/>
      <c r="D986" s="4"/>
      <c r="E986" s="4"/>
      <c r="F986" s="4"/>
      <c r="G986" s="4"/>
      <c r="H986" s="4"/>
      <c r="I986" s="4"/>
    </row>
    <row r="987" spans="2:9" x14ac:dyDescent="0.2">
      <c r="B987" s="4"/>
      <c r="C987" s="4"/>
      <c r="D987" s="4"/>
      <c r="E987" s="4"/>
      <c r="F987" s="4"/>
      <c r="G987" s="4"/>
      <c r="H987" s="4"/>
      <c r="I987" s="4"/>
    </row>
    <row r="988" spans="2:9" x14ac:dyDescent="0.2">
      <c r="B988" s="4"/>
      <c r="C988" s="4"/>
      <c r="D988" s="4"/>
      <c r="E988" s="4"/>
      <c r="F988" s="4"/>
      <c r="G988" s="4"/>
      <c r="H988" s="4"/>
      <c r="I988" s="4"/>
    </row>
    <row r="989" spans="2:9" x14ac:dyDescent="0.2">
      <c r="B989" s="4"/>
      <c r="C989" s="4"/>
      <c r="D989" s="4"/>
      <c r="E989" s="4"/>
      <c r="F989" s="4"/>
      <c r="G989" s="4"/>
      <c r="H989" s="4"/>
      <c r="I989" s="4"/>
    </row>
    <row r="990" spans="2:9" x14ac:dyDescent="0.2">
      <c r="B990" s="4"/>
      <c r="C990" s="4"/>
      <c r="D990" s="4"/>
      <c r="E990" s="4"/>
      <c r="F990" s="4"/>
      <c r="G990" s="4"/>
      <c r="H990" s="4"/>
      <c r="I990" s="4"/>
    </row>
    <row r="991" spans="2:9" x14ac:dyDescent="0.2">
      <c r="B991" s="4"/>
      <c r="C991" s="4"/>
      <c r="D991" s="4"/>
      <c r="E991" s="4"/>
      <c r="F991" s="4"/>
      <c r="G991" s="4"/>
      <c r="H991" s="4"/>
      <c r="I991" s="4"/>
    </row>
    <row r="992" spans="2:9" x14ac:dyDescent="0.2">
      <c r="B992" s="4"/>
      <c r="C992" s="4"/>
      <c r="D992" s="4"/>
      <c r="E992" s="4"/>
      <c r="F992" s="4"/>
      <c r="G992" s="4"/>
      <c r="H992" s="4"/>
      <c r="I992" s="4"/>
    </row>
    <row r="993" spans="2:9" x14ac:dyDescent="0.2">
      <c r="B993" s="4"/>
      <c r="C993" s="4"/>
      <c r="D993" s="4"/>
      <c r="E993" s="4"/>
      <c r="F993" s="4"/>
      <c r="G993" s="4"/>
      <c r="H993" s="4"/>
      <c r="I993" s="4"/>
    </row>
    <row r="994" spans="2:9" x14ac:dyDescent="0.2">
      <c r="B994" s="4"/>
      <c r="C994" s="4"/>
      <c r="D994" s="4"/>
      <c r="E994" s="4"/>
      <c r="F994" s="4"/>
      <c r="G994" s="4"/>
      <c r="H994" s="4"/>
      <c r="I994" s="4"/>
    </row>
    <row r="995" spans="2:9" x14ac:dyDescent="0.2">
      <c r="B995" s="4"/>
      <c r="C995" s="4"/>
      <c r="D995" s="4"/>
      <c r="E995" s="4"/>
      <c r="F995" s="4"/>
      <c r="G995" s="4"/>
      <c r="H995" s="4"/>
      <c r="I995" s="4"/>
    </row>
    <row r="996" spans="2:9" x14ac:dyDescent="0.2">
      <c r="B996" s="4"/>
      <c r="C996" s="4"/>
      <c r="D996" s="4"/>
      <c r="E996" s="4"/>
      <c r="F996" s="4"/>
      <c r="G996" s="4"/>
      <c r="H996" s="4"/>
      <c r="I996" s="4"/>
    </row>
    <row r="997" spans="2:9" x14ac:dyDescent="0.2">
      <c r="B997" s="4"/>
      <c r="C997" s="4"/>
      <c r="D997" s="4"/>
      <c r="E997" s="4"/>
      <c r="F997" s="4"/>
      <c r="G997" s="4"/>
      <c r="H997" s="4"/>
      <c r="I997" s="4"/>
    </row>
    <row r="998" spans="2:9" x14ac:dyDescent="0.2">
      <c r="B998" s="4"/>
      <c r="C998" s="4"/>
      <c r="D998" s="4"/>
      <c r="E998" s="4"/>
      <c r="F998" s="4"/>
      <c r="G998" s="4"/>
      <c r="H998" s="4"/>
      <c r="I998" s="4"/>
    </row>
    <row r="999" spans="2:9" x14ac:dyDescent="0.2">
      <c r="B999" s="4"/>
      <c r="C999" s="4"/>
      <c r="D999" s="4"/>
      <c r="E999" s="4"/>
      <c r="F999" s="4"/>
      <c r="G999" s="4"/>
      <c r="H999" s="4"/>
      <c r="I999" s="4"/>
    </row>
    <row r="1000" spans="2:9" x14ac:dyDescent="0.2">
      <c r="B1000" s="4"/>
      <c r="C1000" s="4"/>
      <c r="D1000" s="4"/>
      <c r="E1000" s="4"/>
      <c r="F1000" s="4"/>
      <c r="G1000" s="4"/>
      <c r="H1000" s="4"/>
      <c r="I1000" s="4"/>
    </row>
    <row r="1001" spans="2:9" x14ac:dyDescent="0.2">
      <c r="B1001" s="4"/>
      <c r="C1001" s="4"/>
      <c r="D1001" s="4"/>
      <c r="E1001" s="4"/>
      <c r="F1001" s="4"/>
      <c r="G1001" s="4"/>
      <c r="H1001" s="4"/>
      <c r="I1001" s="4"/>
    </row>
    <row r="1002" spans="2:9" x14ac:dyDescent="0.2">
      <c r="B1002" s="4"/>
      <c r="C1002" s="4"/>
      <c r="D1002" s="4"/>
      <c r="E1002" s="4"/>
      <c r="F1002" s="4"/>
      <c r="G1002" s="4"/>
      <c r="H1002" s="4"/>
      <c r="I1002" s="4"/>
    </row>
    <row r="1003" spans="2:9" x14ac:dyDescent="0.2">
      <c r="B1003" s="4"/>
      <c r="C1003" s="4"/>
      <c r="D1003" s="4"/>
      <c r="E1003" s="4"/>
      <c r="F1003" s="4"/>
      <c r="G1003" s="4"/>
      <c r="H1003" s="4"/>
      <c r="I1003" s="4"/>
    </row>
    <row r="1004" spans="2:9" x14ac:dyDescent="0.2">
      <c r="B1004" s="4"/>
      <c r="C1004" s="4"/>
      <c r="D1004" s="4"/>
      <c r="E1004" s="4"/>
      <c r="F1004" s="4"/>
      <c r="G1004" s="4"/>
      <c r="H1004" s="4"/>
      <c r="I1004" s="4"/>
    </row>
    <row r="1005" spans="2:9" x14ac:dyDescent="0.2">
      <c r="B1005" s="4"/>
      <c r="C1005" s="4"/>
      <c r="D1005" s="4"/>
      <c r="E1005" s="4"/>
      <c r="F1005" s="4"/>
      <c r="G1005" s="4"/>
      <c r="H1005" s="4"/>
      <c r="I1005" s="4"/>
    </row>
    <row r="1006" spans="2:9" x14ac:dyDescent="0.2">
      <c r="B1006" s="4"/>
      <c r="C1006" s="4"/>
      <c r="D1006" s="4"/>
      <c r="E1006" s="4"/>
      <c r="F1006" s="4"/>
      <c r="G1006" s="4"/>
      <c r="H1006" s="4"/>
      <c r="I1006" s="4"/>
    </row>
    <row r="1007" spans="2:9" x14ac:dyDescent="0.2">
      <c r="B1007" s="4"/>
      <c r="C1007" s="4"/>
      <c r="D1007" s="4"/>
      <c r="E1007" s="4"/>
      <c r="F1007" s="4"/>
      <c r="G1007" s="4"/>
      <c r="H1007" s="4"/>
      <c r="I1007" s="4"/>
    </row>
    <row r="1008" spans="2:9" x14ac:dyDescent="0.2">
      <c r="B1008" s="4"/>
      <c r="C1008" s="4"/>
      <c r="D1008" s="4"/>
      <c r="E1008" s="4"/>
      <c r="F1008" s="4"/>
      <c r="G1008" s="4"/>
      <c r="H1008" s="4"/>
      <c r="I1008" s="4"/>
    </row>
  </sheetData>
  <mergeCells count="1">
    <mergeCell ref="L2:N2"/>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EGR2023_MASTER</vt:lpstr>
      <vt:lpstr>CAT_NZ_Nov22</vt:lpstr>
      <vt:lpstr>September 2023 Update (WRI)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Clea Schumer</dc:creator>
  <cp:lastModifiedBy>PELZ Setu</cp:lastModifiedBy>
  <dcterms:created xsi:type="dcterms:W3CDTF">2023-09-14T16:52:38Z</dcterms:created>
  <dcterms:modified xsi:type="dcterms:W3CDTF">2024-03-28T09:11:28Z</dcterms:modified>
</cp:coreProperties>
</file>